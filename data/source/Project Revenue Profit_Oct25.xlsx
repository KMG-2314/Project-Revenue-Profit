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N20" i="1"/>
  <c r="O20" i="1" s="1"/>
  <c r="L20" i="1"/>
  <c r="K20" i="1"/>
  <c r="J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<sst xmlns="http://schemas.openxmlformats.org/spreadsheetml/2006/main" count="89" uniqueCount="41">
  <si>
    <t>Month</t>
  </si>
  <si>
    <t>ClientName</t>
  </si>
  <si>
    <t>Resource Email</t>
  </si>
  <si>
    <t>Resource Name</t>
  </si>
  <si>
    <t>Resource Role</t>
  </si>
  <si>
    <t>Allocation %</t>
  </si>
  <si>
    <t>Billing Rate
($)</t>
  </si>
  <si>
    <t>Billing Rate
(INR)</t>
  </si>
  <si>
    <t>Billable
 Hours</t>
  </si>
  <si>
    <t>Revenue
/Month
($)</t>
  </si>
  <si>
    <t>Revenue
/Yr
($)</t>
  </si>
  <si>
    <t>Revenue
(INR)</t>
  </si>
  <si>
    <t>Cost Rate/Yearly($)</t>
  </si>
  <si>
    <t>Cost
/Month
(INR)</t>
  </si>
  <si>
    <t>Profit</t>
  </si>
  <si>
    <t>Profitability %</t>
  </si>
  <si>
    <t>Amynta</t>
  </si>
  <si>
    <t>rema.ravindran@kmgus.com</t>
  </si>
  <si>
    <t>Rema</t>
  </si>
  <si>
    <t>Senior Lead Constultant</t>
  </si>
  <si>
    <t>deeksha.minhas@kmgin.com</t>
  </si>
  <si>
    <t>Deeksha Minhas</t>
  </si>
  <si>
    <t>Lead Engineer</t>
  </si>
  <si>
    <t>kirti.jindal@kmgin.com</t>
  </si>
  <si>
    <t>Kirti Jindal</t>
  </si>
  <si>
    <t>Consultant Trainee</t>
  </si>
  <si>
    <t>aarush.verma@kmgin.com</t>
  </si>
  <si>
    <t>Aarush Verma</t>
  </si>
  <si>
    <t>prem.n@kmgin.com</t>
  </si>
  <si>
    <t>Prem N</t>
  </si>
  <si>
    <t>Consultant</t>
  </si>
  <si>
    <t>Nikhil Rawal</t>
  </si>
  <si>
    <t>shivam.nijhawan@kmgin.com</t>
  </si>
  <si>
    <t>Shivam</t>
  </si>
  <si>
    <t>aditya.tomar@kmgin.com</t>
  </si>
  <si>
    <t>Aditya Tomar</t>
  </si>
  <si>
    <t>Engineer</t>
  </si>
  <si>
    <t>mahavir.routhan@kmgus.com</t>
  </si>
  <si>
    <t>Mahavir</t>
  </si>
  <si>
    <t>Ass Manager (Testing &amp; QA)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</si>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</sst>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/dd/yyyy"/>
    <numFmt numFmtId="165" formatCode="&quot;$&quot;#,##0.00"/>
    <numFmt numFmtId="166" formatCode="[$₹]#,##0.00"/>
    <numFmt numFmtId="167" formatCode="&quot;$&quot;#,##0"/>
    <numFmt numFmtId="168" formatCode="[&gt;9999999][$₹]##\,##\,##\,##0;[&gt;99999][$₹]##\,##\,##0;[$₹]##,##0"/>
    <numFmt numFmtId="169" formatCode="[$₹-820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2" fontId="2" fillId="2" borderId="2" xfId="0" applyNumberFormat="1" applyFont="1" applyFill="1" applyBorder="1" applyAlignment="1">
      <alignment horizontal="center" vertical="top"/>
    </xf>
    <xf numFmtId="164" fontId="1" fillId="3" borderId="3" xfId="0" applyNumberFormat="1" applyFont="1" applyFill="1" applyBorder="1" applyAlignment="1"/>
    <xf numFmtId="0" fontId="3" fillId="4" borderId="1" xfId="0" applyFont="1" applyFill="1" applyBorder="1"/>
    <xf numFmtId="0" fontId="4" fillId="0" borderId="1" xfId="1" applyBorder="1"/>
    <xf numFmtId="0" fontId="5" fillId="4" borderId="2" xfId="0" applyFont="1" applyFill="1" applyBorder="1"/>
    <xf numFmtId="9" fontId="5" fillId="4" borderId="2" xfId="0" applyNumberFormat="1" applyFont="1" applyFill="1" applyBorder="1"/>
    <xf numFmtId="165" fontId="5" fillId="4" borderId="2" xfId="0" applyNumberFormat="1" applyFont="1" applyFill="1" applyBorder="1" applyAlignment="1"/>
    <xf numFmtId="166" fontId="5" fillId="4" borderId="2" xfId="0" applyNumberFormat="1" applyFont="1" applyFill="1" applyBorder="1"/>
    <xf numFmtId="167" fontId="5" fillId="4" borderId="2" xfId="0" applyNumberFormat="1" applyFont="1" applyFill="1" applyBorder="1"/>
    <xf numFmtId="168" fontId="5" fillId="4" borderId="2" xfId="0" applyNumberFormat="1" applyFont="1" applyFill="1" applyBorder="1"/>
    <xf numFmtId="169" fontId="5" fillId="4" borderId="2" xfId="0" applyNumberFormat="1" applyFont="1" applyFill="1" applyBorder="1"/>
    <xf numFmtId="2" fontId="5" fillId="4" borderId="2" xfId="0" applyNumberFormat="1" applyFont="1" applyFill="1" applyBorder="1"/>
    <xf numFmtId="164" fontId="1" fillId="4" borderId="3" xfId="0" applyNumberFormat="1" applyFont="1" applyFill="1" applyBorder="1" applyAlignment="1"/>
    <xf numFmtId="0" fontId="6" fillId="0" borderId="2" xfId="0" applyFont="1" applyBorder="1"/>
    <xf numFmtId="9" fontId="6" fillId="0" borderId="2" xfId="0" applyNumberFormat="1" applyFont="1" applyBorder="1"/>
    <xf numFmtId="166" fontId="5" fillId="0" borderId="2" xfId="0" applyNumberFormat="1" applyFont="1" applyBorder="1"/>
    <xf numFmtId="0" fontId="5" fillId="0" borderId="2" xfId="0" applyFont="1" applyBorder="1"/>
    <xf numFmtId="167" fontId="5" fillId="0" borderId="2" xfId="0" applyNumberFormat="1" applyFont="1" applyBorder="1"/>
    <xf numFmtId="168" fontId="5" fillId="0" borderId="2" xfId="0" applyNumberFormat="1" applyFont="1" applyBorder="1"/>
    <xf numFmtId="168" fontId="5" fillId="5" borderId="2" xfId="0" applyNumberFormat="1" applyFont="1" applyFill="1" applyBorder="1"/>
    <xf numFmtId="2" fontId="5" fillId="0" borderId="2" xfId="0" applyNumberFormat="1" applyFont="1" applyBorder="1"/>
    <xf numFmtId="165" fontId="5" fillId="0" borderId="2" xfId="0" applyNumberFormat="1" applyFont="1" applyBorder="1" applyAlignment="1"/>
    <xf numFmtId="17" fontId="1" fillId="4" borderId="3" xfId="0" applyNumberFormat="1" applyFont="1" applyFill="1" applyBorder="1" applyAlignment="1"/>
    <xf numFmtId="0" fontId="7" fillId="6" borderId="1" xfId="0" applyFont="1" applyFill="1" applyBorder="1"/>
    <xf numFmtId="0" fontId="7" fillId="6" borderId="2" xfId="0" applyFont="1" applyFill="1" applyBorder="1"/>
    <xf numFmtId="167" fontId="7" fillId="6" borderId="2" xfId="0" applyNumberFormat="1" applyFont="1" applyFill="1" applyBorder="1"/>
    <xf numFmtId="168" fontId="7" fillId="6" borderId="2" xfId="0" applyNumberFormat="1" applyFont="1" applyFill="1" applyBorder="1"/>
    <xf numFmtId="2" fontId="7" fillId="6" borderId="2" xfId="0" applyNumberFormat="1" applyFont="1" applyFill="1" applyBorder="1"/>
  </cellXfs>
  <cellStyles count="2">
    <cellStyle name="Hyperlink" xfId="1" builtinId="8"/>
    <cellStyle name="Normal" xfId="0" builtinId="0"/>
  </cellStyles>
  <dxfs count="6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.nijhawan@kmgin.com" TargetMode="External"/><Relationship Id="rId13" Type="http://schemas.openxmlformats.org/officeDocument/2006/relationships/hyperlink" Target="mailto:kirti.jindal@kmgin.com" TargetMode="External"/><Relationship Id="rId18" Type="http://schemas.openxmlformats.org/officeDocument/2006/relationships/hyperlink" Target="mailto:aditya.tomar@kmgin.com" TargetMode="External"/><Relationship Id="rId3" Type="http://schemas.openxmlformats.org/officeDocument/2006/relationships/hyperlink" Target="mailto:deeksha.minhas@kmgin.com" TargetMode="External"/><Relationship Id="rId7" Type="http://schemas.openxmlformats.org/officeDocument/2006/relationships/hyperlink" Target="mailto:mahavir.routhan@kmgus.com" TargetMode="External"/><Relationship Id="rId12" Type="http://schemas.openxmlformats.org/officeDocument/2006/relationships/hyperlink" Target="mailto:deeksha.minhas@kmgin.com" TargetMode="External"/><Relationship Id="rId17" Type="http://schemas.openxmlformats.org/officeDocument/2006/relationships/hyperlink" Target="mailto:shivam.nijhawan@kmgin.com" TargetMode="External"/><Relationship Id="rId2" Type="http://schemas.openxmlformats.org/officeDocument/2006/relationships/hyperlink" Target="mailto:rema.ravindran@kmgus.com" TargetMode="External"/><Relationship Id="rId16" Type="http://schemas.openxmlformats.org/officeDocument/2006/relationships/hyperlink" Target="mailto:mahavir.routhan@kmgus.com" TargetMode="External"/><Relationship Id="rId1" Type="http://schemas.openxmlformats.org/officeDocument/2006/relationships/hyperlink" Target="mailto:kirti.jindal@kmgin.com" TargetMode="External"/><Relationship Id="rId6" Type="http://schemas.openxmlformats.org/officeDocument/2006/relationships/hyperlink" Target="mailto:prem.n@kmgin.com" TargetMode="External"/><Relationship Id="rId11" Type="http://schemas.openxmlformats.org/officeDocument/2006/relationships/hyperlink" Target="mailto:rema.ravindran@kmgus.com" TargetMode="External"/><Relationship Id="rId5" Type="http://schemas.openxmlformats.org/officeDocument/2006/relationships/hyperlink" Target="mailto:aarush.verma@kmgin.com" TargetMode="External"/><Relationship Id="rId15" Type="http://schemas.openxmlformats.org/officeDocument/2006/relationships/hyperlink" Target="mailto:prem.n@kmgin.com" TargetMode="External"/><Relationship Id="rId10" Type="http://schemas.openxmlformats.org/officeDocument/2006/relationships/hyperlink" Target="mailto:kirti.jindal@kmgin.com" TargetMode="External"/><Relationship Id="rId4" Type="http://schemas.openxmlformats.org/officeDocument/2006/relationships/hyperlink" Target="mailto:kirti.jindal@kmgin.com" TargetMode="External"/><Relationship Id="rId9" Type="http://schemas.openxmlformats.org/officeDocument/2006/relationships/hyperlink" Target="mailto:aditya.tomar@kmgin.com" TargetMode="External"/><Relationship Id="rId14" Type="http://schemas.openxmlformats.org/officeDocument/2006/relationships/hyperlink" Target="mailto:aarush.verma@kmg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sqref="A1:XFD1048576"/>
    </sheetView>
  </sheetViews>
  <sheetFormatPr defaultRowHeight="14.4" x14ac:dyDescent="0.3"/>
  <cols>
    <col min="1" max="1" width="10.33203125" bestFit="1" customWidth="1"/>
    <col min="2" max="2" width="10.21875" bestFit="1" customWidth="1"/>
    <col min="3" max="3" width="26" bestFit="1" customWidth="1"/>
    <col min="4" max="4" width="14.33203125" bestFit="1" customWidth="1"/>
    <col min="5" max="5" width="23.6640625" bestFit="1" customWidth="1"/>
    <col min="6" max="6" width="10.5546875" bestFit="1" customWidth="1"/>
    <col min="7" max="7" width="13.109375" bestFit="1" customWidth="1"/>
    <col min="8" max="8" width="15" bestFit="1" customWidth="1"/>
    <col min="9" max="9" width="6.77734375" bestFit="1" customWidth="1"/>
    <col min="10" max="10" width="18.44140625" bestFit="1" customWidth="1"/>
    <col min="11" max="11" width="14.6640625" bestFit="1" customWidth="1"/>
    <col min="12" max="12" width="8" bestFit="1" customWidth="1"/>
    <col min="13" max="13" width="12.44140625" bestFit="1" customWidth="1"/>
    <col min="14" max="14" width="7.109375" bestFit="1" customWidth="1"/>
    <col min="15" max="15" width="5.33203125" bestFit="1" customWidth="1"/>
    <col min="16" max="16" width="11.88671875" bestFit="1" customWidth="1"/>
  </cols>
  <sheetData>
    <row r="1" spans="1:16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3" t="s">
        <v>13</v>
      </c>
      <c r="O1" s="2" t="s">
        <v>14</v>
      </c>
      <c r="P1" s="5" t="s">
        <v>15</v>
      </c>
    </row>
    <row r="2" spans="1:16" x14ac:dyDescent="0.3">
      <c r="A2" s="6">
        <v>45778</v>
      </c>
      <c r="B2" s="7" t="s">
        <v>16</v>
      </c>
      <c r="C2" s="8" t="s">
        <v>17</v>
      </c>
      <c r="D2" s="9" t="s">
        <v>18</v>
      </c>
      <c r="E2" s="9" t="s">
        <v>19</v>
      </c>
      <c r="F2" s="10">
        <v>0.5</v>
      </c>
      <c r="G2" s="11">
        <v>30</v>
      </c>
      <c r="H2" s="12"/>
      <c r="I2" s="9">
        <v>50</v>
      </c>
      <c r="J2" s="13"/>
      <c r="K2" s="13"/>
      <c r="L2" s="14"/>
      <c r="M2" s="15">
        <v>1800000</v>
      </c>
      <c r="N2" s="15"/>
      <c r="O2" s="14"/>
      <c r="P2" s="16">
        <f t="shared" ref="P2:P19" si="0">IF(L2=0,0,(O2/L2)*100)</f>
        <v>0</v>
      </c>
    </row>
    <row r="3" spans="1:16" x14ac:dyDescent="0.3">
      <c r="A3" s="17">
        <v>45778</v>
      </c>
      <c r="B3" s="7" t="s">
        <v>16</v>
      </c>
      <c r="C3" s="8" t="s">
        <v>20</v>
      </c>
      <c r="D3" s="18" t="s">
        <v>21</v>
      </c>
      <c r="E3" s="18" t="s">
        <v>22</v>
      </c>
      <c r="F3" s="19">
        <v>0.5</v>
      </c>
      <c r="G3" s="11">
        <v>30</v>
      </c>
      <c r="H3" s="20"/>
      <c r="I3" s="21">
        <v>50</v>
      </c>
      <c r="J3" s="22"/>
      <c r="K3" s="22"/>
      <c r="L3" s="23"/>
      <c r="M3" s="15">
        <v>1500000</v>
      </c>
      <c r="N3" s="15"/>
      <c r="O3" s="24"/>
      <c r="P3" s="25">
        <f t="shared" si="0"/>
        <v>0</v>
      </c>
    </row>
    <row r="4" spans="1:16" x14ac:dyDescent="0.3">
      <c r="A4" s="17">
        <v>45778</v>
      </c>
      <c r="B4" s="7" t="s">
        <v>16</v>
      </c>
      <c r="C4" s="8" t="s">
        <v>23</v>
      </c>
      <c r="D4" s="18" t="s">
        <v>24</v>
      </c>
      <c r="E4" s="18" t="s">
        <v>25</v>
      </c>
      <c r="F4" s="19">
        <v>1</v>
      </c>
      <c r="G4" s="26">
        <v>15</v>
      </c>
      <c r="H4" s="20"/>
      <c r="I4" s="21">
        <v>172</v>
      </c>
      <c r="J4" s="22"/>
      <c r="K4" s="22"/>
      <c r="L4" s="23"/>
      <c r="M4" s="15">
        <v>700000</v>
      </c>
      <c r="N4" s="15"/>
      <c r="O4" s="24"/>
      <c r="P4" s="25">
        <f t="shared" si="0"/>
        <v>0</v>
      </c>
    </row>
    <row r="5" spans="1:16" x14ac:dyDescent="0.3">
      <c r="A5" s="17">
        <v>45778</v>
      </c>
      <c r="B5" s="7" t="s">
        <v>16</v>
      </c>
      <c r="C5" s="8" t="s">
        <v>26</v>
      </c>
      <c r="D5" s="18" t="s">
        <v>27</v>
      </c>
      <c r="E5" s="18" t="s">
        <v>25</v>
      </c>
      <c r="F5" s="19">
        <v>1</v>
      </c>
      <c r="G5" s="26">
        <v>15</v>
      </c>
      <c r="H5" s="20"/>
      <c r="I5" s="21">
        <v>172</v>
      </c>
      <c r="J5" s="22"/>
      <c r="K5" s="22"/>
      <c r="L5" s="23"/>
      <c r="M5" s="15">
        <v>700000</v>
      </c>
      <c r="N5" s="15"/>
      <c r="O5" s="24"/>
      <c r="P5" s="25">
        <f t="shared" si="0"/>
        <v>0</v>
      </c>
    </row>
    <row r="6" spans="1:16" x14ac:dyDescent="0.3">
      <c r="A6" s="17">
        <v>45778</v>
      </c>
      <c r="B6" s="7" t="s">
        <v>16</v>
      </c>
      <c r="C6" s="8" t="s">
        <v>28</v>
      </c>
      <c r="D6" s="18" t="s">
        <v>29</v>
      </c>
      <c r="E6" s="18" t="s">
        <v>30</v>
      </c>
      <c r="F6" s="19">
        <v>1</v>
      </c>
      <c r="G6" s="26">
        <v>15</v>
      </c>
      <c r="H6" s="20"/>
      <c r="I6" s="21">
        <v>172</v>
      </c>
      <c r="J6" s="22"/>
      <c r="K6" s="22"/>
      <c r="L6" s="23"/>
      <c r="M6" s="15">
        <v>600000</v>
      </c>
      <c r="N6" s="15"/>
      <c r="O6" s="24"/>
      <c r="P6" s="25">
        <f t="shared" si="0"/>
        <v>0</v>
      </c>
    </row>
    <row r="7" spans="1:16" x14ac:dyDescent="0.3">
      <c r="A7" s="17">
        <v>45778</v>
      </c>
      <c r="B7" s="7" t="s">
        <v>16</v>
      </c>
      <c r="C7" s="8" t="s">
        <v>23</v>
      </c>
      <c r="D7" s="18" t="s">
        <v>31</v>
      </c>
      <c r="E7" s="18" t="s">
        <v>30</v>
      </c>
      <c r="F7" s="19">
        <v>1</v>
      </c>
      <c r="G7" s="26">
        <v>15</v>
      </c>
      <c r="H7" s="20"/>
      <c r="I7" s="21">
        <v>172</v>
      </c>
      <c r="J7" s="22"/>
      <c r="K7" s="22"/>
      <c r="L7" s="23"/>
      <c r="M7" s="15">
        <v>700000</v>
      </c>
      <c r="N7" s="15"/>
      <c r="O7" s="24"/>
      <c r="P7" s="25">
        <f t="shared" si="0"/>
        <v>0</v>
      </c>
    </row>
    <row r="8" spans="1:16" x14ac:dyDescent="0.3">
      <c r="A8" s="17">
        <v>45778</v>
      </c>
      <c r="B8" s="7" t="s">
        <v>16</v>
      </c>
      <c r="C8" s="8" t="s">
        <v>32</v>
      </c>
      <c r="D8" s="18" t="s">
        <v>33</v>
      </c>
      <c r="E8" s="18" t="s">
        <v>30</v>
      </c>
      <c r="F8" s="19">
        <v>0</v>
      </c>
      <c r="G8" s="26">
        <v>15</v>
      </c>
      <c r="H8" s="20"/>
      <c r="I8" s="21">
        <v>0</v>
      </c>
      <c r="J8" s="22"/>
      <c r="K8" s="22"/>
      <c r="L8" s="23"/>
      <c r="M8" s="15">
        <v>700000</v>
      </c>
      <c r="N8" s="15"/>
      <c r="O8" s="24"/>
      <c r="P8" s="25">
        <f t="shared" si="0"/>
        <v>0</v>
      </c>
    </row>
    <row r="9" spans="1:16" x14ac:dyDescent="0.3">
      <c r="A9" s="17">
        <v>45778</v>
      </c>
      <c r="B9" s="7" t="s">
        <v>16</v>
      </c>
      <c r="C9" s="8" t="s">
        <v>34</v>
      </c>
      <c r="D9" s="18" t="s">
        <v>35</v>
      </c>
      <c r="E9" s="18" t="s">
        <v>36</v>
      </c>
      <c r="F9" s="19">
        <v>0</v>
      </c>
      <c r="G9" s="26">
        <v>15</v>
      </c>
      <c r="H9" s="20"/>
      <c r="I9" s="21">
        <v>0</v>
      </c>
      <c r="J9" s="22"/>
      <c r="K9" s="22"/>
      <c r="L9" s="23"/>
      <c r="M9" s="15">
        <v>500000</v>
      </c>
      <c r="N9" s="15"/>
      <c r="O9" s="24"/>
      <c r="P9" s="25">
        <f t="shared" si="0"/>
        <v>0</v>
      </c>
    </row>
    <row r="10" spans="1:16" x14ac:dyDescent="0.3">
      <c r="A10" s="17">
        <v>45778</v>
      </c>
      <c r="B10" s="7" t="s">
        <v>16</v>
      </c>
      <c r="C10" s="8" t="s">
        <v>37</v>
      </c>
      <c r="D10" s="18" t="s">
        <v>38</v>
      </c>
      <c r="E10" s="18" t="s">
        <v>39</v>
      </c>
      <c r="F10" s="19">
        <v>0.5</v>
      </c>
      <c r="G10" s="26">
        <v>15</v>
      </c>
      <c r="H10" s="20"/>
      <c r="I10" s="21">
        <v>160</v>
      </c>
      <c r="J10" s="22"/>
      <c r="K10" s="22"/>
      <c r="L10" s="23"/>
      <c r="M10" s="15">
        <v>1500000</v>
      </c>
      <c r="N10" s="15"/>
      <c r="O10" s="24"/>
      <c r="P10" s="25">
        <f t="shared" si="0"/>
        <v>0</v>
      </c>
    </row>
    <row r="11" spans="1:16" x14ac:dyDescent="0.3">
      <c r="A11" s="6">
        <v>45809</v>
      </c>
      <c r="B11" s="7" t="s">
        <v>16</v>
      </c>
      <c r="C11" s="8" t="s">
        <v>17</v>
      </c>
      <c r="D11" s="9" t="s">
        <v>18</v>
      </c>
      <c r="E11" s="9" t="s">
        <v>19</v>
      </c>
      <c r="F11" s="10">
        <v>0.5</v>
      </c>
      <c r="G11" s="11">
        <v>30</v>
      </c>
      <c r="H11" s="12"/>
      <c r="I11" s="9">
        <v>50</v>
      </c>
      <c r="J11" s="13"/>
      <c r="K11" s="13"/>
      <c r="L11" s="14"/>
      <c r="M11" s="15">
        <v>1800000</v>
      </c>
      <c r="N11" s="15"/>
      <c r="O11" s="14"/>
      <c r="P11" s="16">
        <f t="shared" si="0"/>
        <v>0</v>
      </c>
    </row>
    <row r="12" spans="1:16" x14ac:dyDescent="0.3">
      <c r="A12" s="17">
        <v>45809</v>
      </c>
      <c r="B12" s="7" t="s">
        <v>16</v>
      </c>
      <c r="C12" s="8" t="s">
        <v>20</v>
      </c>
      <c r="D12" s="18" t="s">
        <v>21</v>
      </c>
      <c r="E12" s="18" t="s">
        <v>22</v>
      </c>
      <c r="F12" s="19">
        <v>0.5</v>
      </c>
      <c r="G12" s="11">
        <v>30</v>
      </c>
      <c r="H12" s="20"/>
      <c r="I12" s="21">
        <v>50</v>
      </c>
      <c r="J12" s="22"/>
      <c r="K12" s="22"/>
      <c r="L12" s="23"/>
      <c r="M12" s="15">
        <v>1500000</v>
      </c>
      <c r="N12" s="15"/>
      <c r="O12" s="24"/>
      <c r="P12" s="25">
        <f t="shared" si="0"/>
        <v>0</v>
      </c>
    </row>
    <row r="13" spans="1:16" x14ac:dyDescent="0.3">
      <c r="A13" s="17">
        <v>45809</v>
      </c>
      <c r="B13" s="7" t="s">
        <v>16</v>
      </c>
      <c r="C13" s="8" t="s">
        <v>23</v>
      </c>
      <c r="D13" s="18" t="s">
        <v>24</v>
      </c>
      <c r="E13" s="18" t="s">
        <v>25</v>
      </c>
      <c r="F13" s="19">
        <v>1</v>
      </c>
      <c r="G13" s="26" t="s">
        <v>40</v>
      </c>
      <c r="H13" s="20"/>
      <c r="I13" s="21">
        <v>172</v>
      </c>
      <c r="J13" s="22"/>
      <c r="K13" s="22"/>
      <c r="L13" s="23"/>
      <c r="M13" s="15">
        <v>700000</v>
      </c>
      <c r="N13" s="15"/>
      <c r="O13" s="24"/>
      <c r="P13" s="25">
        <f t="shared" si="0"/>
        <v>0</v>
      </c>
    </row>
    <row r="14" spans="1:16" x14ac:dyDescent="0.3">
      <c r="A14" s="17">
        <v>45809</v>
      </c>
      <c r="B14" s="7" t="s">
        <v>16</v>
      </c>
      <c r="C14" s="8" t="s">
        <v>26</v>
      </c>
      <c r="D14" s="18" t="s">
        <v>27</v>
      </c>
      <c r="E14" s="18" t="s">
        <v>25</v>
      </c>
      <c r="F14" s="19">
        <v>1</v>
      </c>
      <c r="G14" s="26">
        <v>15</v>
      </c>
      <c r="H14" s="20"/>
      <c r="I14" s="21">
        <v>172</v>
      </c>
      <c r="J14" s="22"/>
      <c r="K14" s="22"/>
      <c r="L14" s="23"/>
      <c r="M14" s="15">
        <v>700000</v>
      </c>
      <c r="N14" s="15"/>
      <c r="O14" s="24"/>
      <c r="P14" s="25">
        <f t="shared" si="0"/>
        <v>0</v>
      </c>
    </row>
    <row r="15" spans="1:16" x14ac:dyDescent="0.3">
      <c r="A15" s="17">
        <v>45809</v>
      </c>
      <c r="B15" s="7" t="s">
        <v>16</v>
      </c>
      <c r="C15" s="8" t="s">
        <v>28</v>
      </c>
      <c r="D15" s="18" t="s">
        <v>29</v>
      </c>
      <c r="E15" s="18" t="s">
        <v>30</v>
      </c>
      <c r="F15" s="19">
        <v>1</v>
      </c>
      <c r="G15" s="26">
        <v>15</v>
      </c>
      <c r="H15" s="20"/>
      <c r="I15" s="21">
        <v>172</v>
      </c>
      <c r="J15" s="22"/>
      <c r="K15" s="22"/>
      <c r="L15" s="23"/>
      <c r="M15" s="15">
        <v>600000</v>
      </c>
      <c r="N15" s="15"/>
      <c r="O15" s="24"/>
      <c r="P15" s="25">
        <f t="shared" si="0"/>
        <v>0</v>
      </c>
    </row>
    <row r="16" spans="1:16" x14ac:dyDescent="0.3">
      <c r="A16" s="17">
        <v>45809</v>
      </c>
      <c r="B16" s="7" t="s">
        <v>16</v>
      </c>
      <c r="C16" s="8" t="s">
        <v>23</v>
      </c>
      <c r="D16" s="18" t="s">
        <v>31</v>
      </c>
      <c r="E16" s="18" t="s">
        <v>30</v>
      </c>
      <c r="F16" s="19">
        <v>1</v>
      </c>
      <c r="G16" s="26">
        <v>15</v>
      </c>
      <c r="H16" s="20"/>
      <c r="I16" s="21">
        <v>172</v>
      </c>
      <c r="J16" s="22"/>
      <c r="K16" s="22"/>
      <c r="L16" s="23"/>
      <c r="M16" s="15">
        <v>700000</v>
      </c>
      <c r="N16" s="15"/>
      <c r="O16" s="24"/>
      <c r="P16" s="25">
        <f t="shared" si="0"/>
        <v>0</v>
      </c>
    </row>
    <row r="17" spans="1:16" x14ac:dyDescent="0.3">
      <c r="A17" s="17">
        <v>45809</v>
      </c>
      <c r="B17" s="7" t="s">
        <v>16</v>
      </c>
      <c r="C17" s="8" t="s">
        <v>32</v>
      </c>
      <c r="D17" s="18" t="s">
        <v>33</v>
      </c>
      <c r="E17" s="18" t="s">
        <v>30</v>
      </c>
      <c r="F17" s="19">
        <v>0</v>
      </c>
      <c r="G17" s="26">
        <v>15</v>
      </c>
      <c r="H17" s="20"/>
      <c r="I17" s="21">
        <v>0</v>
      </c>
      <c r="J17" s="22"/>
      <c r="K17" s="22"/>
      <c r="L17" s="23"/>
      <c r="M17" s="15">
        <v>700000</v>
      </c>
      <c r="N17" s="15"/>
      <c r="O17" s="24"/>
      <c r="P17" s="25">
        <f t="shared" si="0"/>
        <v>0</v>
      </c>
    </row>
    <row r="18" spans="1:16" x14ac:dyDescent="0.3">
      <c r="A18" s="17">
        <v>45809</v>
      </c>
      <c r="B18" s="7" t="s">
        <v>16</v>
      </c>
      <c r="C18" s="8" t="s">
        <v>34</v>
      </c>
      <c r="D18" s="18" t="s">
        <v>35</v>
      </c>
      <c r="E18" s="18" t="s">
        <v>36</v>
      </c>
      <c r="F18" s="19">
        <v>0</v>
      </c>
      <c r="G18" s="26">
        <v>15</v>
      </c>
      <c r="H18" s="20"/>
      <c r="I18" s="21">
        <v>0</v>
      </c>
      <c r="J18" s="22"/>
      <c r="K18" s="22"/>
      <c r="L18" s="23"/>
      <c r="M18" s="15">
        <v>500000</v>
      </c>
      <c r="N18" s="15"/>
      <c r="O18" s="24"/>
      <c r="P18" s="25">
        <f t="shared" si="0"/>
        <v>0</v>
      </c>
    </row>
    <row r="19" spans="1:16" x14ac:dyDescent="0.3">
      <c r="A19" s="17">
        <v>45809</v>
      </c>
      <c r="B19" s="7" t="s">
        <v>16</v>
      </c>
      <c r="C19" s="8" t="s">
        <v>37</v>
      </c>
      <c r="D19" s="18" t="s">
        <v>38</v>
      </c>
      <c r="E19" s="18" t="s">
        <v>39</v>
      </c>
      <c r="F19" s="19">
        <v>0.5</v>
      </c>
      <c r="G19" s="26">
        <v>15</v>
      </c>
      <c r="H19" s="20"/>
      <c r="I19" s="21">
        <v>160</v>
      </c>
      <c r="J19" s="22"/>
      <c r="K19" s="22"/>
      <c r="L19" s="23"/>
      <c r="M19" s="15">
        <v>1500000</v>
      </c>
      <c r="N19" s="15"/>
      <c r="O19" s="24"/>
      <c r="P19" s="25">
        <f t="shared" si="0"/>
        <v>0</v>
      </c>
    </row>
    <row r="20" spans="1:16" x14ac:dyDescent="0.3">
      <c r="A20" s="27"/>
      <c r="B20" s="7"/>
      <c r="C20" s="28"/>
      <c r="D20" s="29"/>
      <c r="E20" s="29"/>
      <c r="F20" s="29"/>
      <c r="G20" s="29"/>
      <c r="H20" s="29"/>
      <c r="I20" s="29"/>
      <c r="J20" s="30">
        <f>SUM(J2:J19)</f>
        <v>0</v>
      </c>
      <c r="K20" s="30">
        <f>SUM(K2:K19)</f>
        <v>0</v>
      </c>
      <c r="L20" s="31">
        <f>SUM(L2:L19)</f>
        <v>0</v>
      </c>
      <c r="M20" s="29"/>
      <c r="N20" s="31">
        <f>SUM(N2:N19)</f>
        <v>0</v>
      </c>
      <c r="O20" s="31">
        <f>L20-N20</f>
        <v>0</v>
      </c>
      <c r="P20" s="32">
        <f>IF(L20=0,0,(O20/L20)*100)</f>
        <v>0</v>
      </c>
    </row>
  </sheetData>
  <conditionalFormatting sqref="O2:P2 P3:P10 O3:O19">
    <cfRule type="cellIs" dxfId="5" priority="4" operator="lessThan">
      <formula>0</formula>
    </cfRule>
  </conditionalFormatting>
  <conditionalFormatting sqref="O2:P2 P3:P10 O3:O19">
    <cfRule type="cellIs" dxfId="4" priority="5" operator="greaterThan">
      <formula>0</formula>
    </cfRule>
  </conditionalFormatting>
  <conditionalFormatting sqref="P2:P10">
    <cfRule type="cellIs" dxfId="3" priority="6" operator="equal">
      <formula>0</formula>
    </cfRule>
  </conditionalFormatting>
  <conditionalFormatting sqref="P11:P19">
    <cfRule type="cellIs" dxfId="2" priority="1" operator="lessThan">
      <formula>0</formula>
    </cfRule>
  </conditionalFormatting>
  <conditionalFormatting sqref="P11:P19">
    <cfRule type="cellIs" dxfId="1" priority="2" operator="greaterThan">
      <formula>0</formula>
    </cfRule>
  </conditionalFormatting>
  <conditionalFormatting sqref="P11:P19">
    <cfRule type="cellIs" dxfId="0" priority="3" operator="equal">
      <formula>0</formula>
    </cfRule>
  </conditionalFormatting>
  <hyperlinks>
    <hyperlink ref="C4" r:id="rId1"/>
    <hyperlink ref="C2" r:id="rId2"/>
    <hyperlink ref="C3" r:id="rId3"/>
    <hyperlink ref="C7" r:id="rId4"/>
    <hyperlink ref="C5" r:id="rId5"/>
    <hyperlink ref="C6" r:id="rId6"/>
    <hyperlink ref="C10" r:id="rId7"/>
    <hyperlink ref="C8" r:id="rId8"/>
    <hyperlink ref="C9" r:id="rId9"/>
    <hyperlink ref="C13" r:id="rId10"/>
    <hyperlink ref="C11" r:id="rId11"/>
    <hyperlink ref="C12" r:id="rId12"/>
    <hyperlink ref="C16" r:id="rId13"/>
    <hyperlink ref="C14" r:id="rId14"/>
    <hyperlink ref="C15" r:id="rId15"/>
    <hyperlink ref="C19" r:id="rId16"/>
    <hyperlink ref="C17" r:id="rId17"/>
    <hyperlink ref="C18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2025-10-22T02:43:25Z</dcterms:modified>
</cp:coreProperties>
</file>