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eksha.minhas\Downloads\"/>
    </mc:Choice>
  </mc:AlternateContent>
  <bookViews>
    <workbookView xWindow="0" yWindow="0" windowWidth="14400" windowHeight="7272" activeTab="2"/>
  </bookViews>
  <sheets>
    <sheet name="Dashboard" sheetId="1" r:id="rId1"/>
    <sheet name="Input Data" sheetId="3" r:id="rId2"/>
    <sheet name="Output Data" sheetId="2" r:id="rId3"/>
  </sheets>
  <calcPr calcId="162913"/>
  <extLst>
    <ext uri="GoogleSheetsCustomDataVersion2">
      <go:sheetsCustomData xmlns:go="http://customooxmlschemas.google.com/" r:id="rId6" roundtripDataChecksum="koRYNzvO9cl+Mu02cDPOVH3BF0DF8KNPy5FQ+cqAhUI="/>
    </ext>
  </extLst>
</workbook>
</file>

<file path=xl/calcChain.xml><?xml version="1.0" encoding="utf-8"?>
<calcChain xmlns="http://schemas.openxmlformats.org/spreadsheetml/2006/main">
  <c r="N20" i="3" l="1"/>
  <c r="J20" i="3" l="1"/>
  <c r="P17" i="3"/>
  <c r="P3" i="3"/>
  <c r="P9" i="3"/>
  <c r="P15" i="3"/>
  <c r="P4" i="3"/>
  <c r="P10" i="3"/>
  <c r="P16" i="3"/>
  <c r="P5" i="3"/>
  <c r="P11" i="3"/>
  <c r="P6" i="3"/>
  <c r="P19" i="3"/>
  <c r="P12" i="3"/>
  <c r="P18" i="3"/>
  <c r="P7" i="3"/>
  <c r="P13" i="3"/>
  <c r="P2" i="3"/>
  <c r="L20" i="3"/>
  <c r="P8" i="3"/>
  <c r="P14" i="3"/>
  <c r="K20" i="3"/>
  <c r="H19" i="2"/>
  <c r="H18" i="2"/>
  <c r="H17" i="2"/>
  <c r="H16" i="2"/>
  <c r="H15" i="2"/>
  <c r="H14" i="2"/>
  <c r="H13" i="2"/>
  <c r="H12" i="2"/>
  <c r="H11" i="2"/>
  <c r="H5" i="2"/>
  <c r="H6" i="2"/>
  <c r="H7" i="2"/>
  <c r="H8" i="2"/>
  <c r="H9" i="2"/>
  <c r="H10" i="2"/>
  <c r="H2" i="2"/>
  <c r="L2" i="2" s="1"/>
  <c r="O2" i="2" s="1"/>
  <c r="H4" i="2"/>
  <c r="H3" i="2"/>
  <c r="O20" i="3" l="1"/>
  <c r="P20" i="3" s="1"/>
  <c r="J2" i="2"/>
  <c r="K2" i="2" s="1"/>
  <c r="L19" i="2"/>
  <c r="O19" i="2" s="1"/>
  <c r="J19" i="2"/>
  <c r="K19" i="2" s="1"/>
  <c r="L18" i="2"/>
  <c r="O18" i="2" s="1"/>
  <c r="J18" i="2"/>
  <c r="K18" i="2" s="1"/>
  <c r="L17" i="2"/>
  <c r="O17" i="2" s="1"/>
  <c r="J17" i="2"/>
  <c r="K17" i="2" s="1"/>
  <c r="L16" i="2"/>
  <c r="O16" i="2" s="1"/>
  <c r="J16" i="2"/>
  <c r="K16" i="2" s="1"/>
  <c r="L15" i="2"/>
  <c r="O15" i="2" s="1"/>
  <c r="J15" i="2"/>
  <c r="K15" i="2" s="1"/>
  <c r="L14" i="2"/>
  <c r="O14" i="2" s="1"/>
  <c r="J14" i="2"/>
  <c r="K14" i="2" s="1"/>
  <c r="L13" i="2"/>
  <c r="O13" i="2" s="1"/>
  <c r="J13" i="2"/>
  <c r="K13" i="2" s="1"/>
  <c r="J12" i="2"/>
  <c r="K12" i="2" s="1"/>
  <c r="L12" i="2"/>
  <c r="O12" i="2" s="1"/>
  <c r="J11" i="2"/>
  <c r="K11" i="2" s="1"/>
  <c r="L11" i="2"/>
  <c r="O11" i="2" s="1"/>
  <c r="L5" i="2"/>
  <c r="O5" i="2" s="1"/>
  <c r="L3" i="2"/>
  <c r="O3" i="2" s="1"/>
  <c r="L4" i="2"/>
  <c r="O4" i="2" s="1"/>
  <c r="L6" i="2"/>
  <c r="O6" i="2" s="1"/>
  <c r="L7" i="2"/>
  <c r="O7" i="2" s="1"/>
  <c r="L8" i="2"/>
  <c r="O8" i="2" s="1"/>
  <c r="L9" i="2"/>
  <c r="O9" i="2" s="1"/>
  <c r="L10" i="2"/>
  <c r="O10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3" i="2"/>
  <c r="K3" i="2" s="1"/>
  <c r="P13" i="2" l="1"/>
  <c r="P8" i="2"/>
  <c r="P19" i="2"/>
  <c r="P7" i="2"/>
  <c r="P6" i="2"/>
  <c r="P16" i="2"/>
  <c r="P10" i="2"/>
  <c r="P9" i="2"/>
  <c r="P5" i="2"/>
  <c r="P11" i="2"/>
  <c r="P12" i="2"/>
  <c r="P15" i="2"/>
  <c r="P18" i="2"/>
  <c r="P17" i="2"/>
  <c r="P14" i="2"/>
  <c r="P4" i="2"/>
  <c r="P2" i="2" l="1"/>
  <c r="N20" i="2"/>
  <c r="P3" i="2"/>
  <c r="J20" i="2"/>
  <c r="L20" i="2"/>
  <c r="K20" i="2"/>
  <c r="O20" i="2" l="1"/>
  <c r="P20" i="2" s="1"/>
</calcChain>
</file>

<file path=xl/sharedStrings.xml><?xml version="1.0" encoding="utf-8"?>
<sst xmlns="http://schemas.openxmlformats.org/spreadsheetml/2006/main" count="179" uniqueCount="44">
  <si>
    <t>Revenue vs Profit Dashboard</t>
  </si>
  <si>
    <t>Bar Chart will be created here using Excel chart tools</t>
  </si>
  <si>
    <t>Resource Name</t>
  </si>
  <si>
    <t>Resource Role</t>
  </si>
  <si>
    <t>Billing Rate
($)</t>
  </si>
  <si>
    <t>Billing Rate
(INR)</t>
  </si>
  <si>
    <t>Billable
 Hours</t>
  </si>
  <si>
    <t>Revenue
/Month
($)</t>
  </si>
  <si>
    <t>Revenue
/Yr
($)</t>
  </si>
  <si>
    <t>Revenue
(INR)</t>
  </si>
  <si>
    <t>Cost Rate
/Month
($)</t>
  </si>
  <si>
    <t>Cost
/Month
(INR)</t>
  </si>
  <si>
    <t>Profit</t>
  </si>
  <si>
    <t>Profitability %</t>
  </si>
  <si>
    <t>Amynta</t>
  </si>
  <si>
    <t>Rema</t>
  </si>
  <si>
    <t>Senior Lead Constultant</t>
  </si>
  <si>
    <t>Month</t>
  </si>
  <si>
    <t>Deeksha Minhas</t>
  </si>
  <si>
    <t>Lead Engineer</t>
  </si>
  <si>
    <t>Mahavir</t>
  </si>
  <si>
    <t>Kirti Jindal</t>
  </si>
  <si>
    <t>Aarush Verma</t>
  </si>
  <si>
    <t>Prem N</t>
  </si>
  <si>
    <t>Shivam</t>
  </si>
  <si>
    <t>Aditya Tomar</t>
  </si>
  <si>
    <t>Consultant Trainee</t>
  </si>
  <si>
    <t>Consultant</t>
  </si>
  <si>
    <t>Nikhil Rawal</t>
  </si>
  <si>
    <t>Engineer</t>
  </si>
  <si>
    <t>Ass Manager (Testing &amp; QA)</t>
  </si>
  <si>
    <t>Cost Rate/Yearly($)</t>
  </si>
  <si>
    <t>ClientName</t>
  </si>
  <si>
    <t>Resource Email</t>
  </si>
  <si>
    <t>deeksha.minhas@kmgin.com</t>
  </si>
  <si>
    <t>rema.ravindran@kmgus.com</t>
  </si>
  <si>
    <t>kirti.jindal@kmgin.com</t>
  </si>
  <si>
    <t>aarush.verma@kmgin.com</t>
  </si>
  <si>
    <t>prem.n@kmgin.com</t>
  </si>
  <si>
    <t>shivam.nijhawan@kmgin.com</t>
  </si>
  <si>
    <t>aditya.tomar@kmgin.com</t>
  </si>
  <si>
    <t>mahavir.routhan@kmgus.com</t>
  </si>
  <si>
    <t>Allocation %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</si>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</sst>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$&quot;#,##0.00"/>
    <numFmt numFmtId="165" formatCode="[$₹]#,##0.00"/>
    <numFmt numFmtId="166" formatCode="&quot;$&quot;#,##0"/>
    <numFmt numFmtId="167" formatCode="[&gt;9999999][$₹]##\,##\,##\,##0;[&gt;99999][$₹]##\,##\,##0;[$₹]##,##0"/>
    <numFmt numFmtId="168" formatCode="[$₹-820]#,##0.00"/>
    <numFmt numFmtId="169" formatCode="mm/dd/yyyy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4">
    <xf numFmtId="0" fontId="0" fillId="0" borderId="0" xfId="0" applyFont="1" applyAlignment="1"/>
    <xf numFmtId="0" fontId="2" fillId="0" borderId="0" xfId="0" applyFont="1"/>
    <xf numFmtId="0" fontId="4" fillId="0" borderId="1" xfId="0" applyFont="1" applyBorder="1"/>
    <xf numFmtId="164" fontId="4" fillId="0" borderId="1" xfId="0" applyNumberFormat="1" applyFont="1" applyBorder="1" applyAlignment="1"/>
    <xf numFmtId="165" fontId="4" fillId="0" borderId="1" xfId="0" applyNumberFormat="1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2" fontId="4" fillId="0" borderId="1" xfId="0" applyNumberFormat="1" applyFont="1" applyBorder="1"/>
    <xf numFmtId="0" fontId="3" fillId="3" borderId="1" xfId="0" applyFont="1" applyFill="1" applyBorder="1"/>
    <xf numFmtId="166" fontId="3" fillId="3" borderId="1" xfId="0" applyNumberFormat="1" applyFont="1" applyFill="1" applyBorder="1"/>
    <xf numFmtId="167" fontId="3" fillId="3" borderId="1" xfId="0" applyNumberFormat="1" applyFont="1" applyFill="1" applyBorder="1"/>
    <xf numFmtId="2" fontId="3" fillId="3" borderId="1" xfId="0" applyNumberFormat="1" applyFont="1" applyFill="1" applyBorder="1"/>
    <xf numFmtId="0" fontId="0" fillId="0" borderId="2" xfId="0" applyFont="1" applyBorder="1" applyAlignment="1"/>
    <xf numFmtId="0" fontId="3" fillId="3" borderId="3" xfId="0" applyFont="1" applyFill="1" applyBorder="1"/>
    <xf numFmtId="0" fontId="6" fillId="0" borderId="1" xfId="0" applyFont="1" applyBorder="1"/>
    <xf numFmtId="167" fontId="4" fillId="4" borderId="1" xfId="0" applyNumberFormat="1" applyFont="1" applyFill="1" applyBorder="1"/>
    <xf numFmtId="0" fontId="8" fillId="2" borderId="3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 wrapText="1"/>
    </xf>
    <xf numFmtId="2" fontId="8" fillId="2" borderId="1" xfId="0" applyNumberFormat="1" applyFont="1" applyFill="1" applyBorder="1" applyAlignment="1">
      <alignment horizontal="center" vertical="top"/>
    </xf>
    <xf numFmtId="0" fontId="9" fillId="0" borderId="0" xfId="0" applyFont="1" applyAlignment="1"/>
    <xf numFmtId="164" fontId="4" fillId="5" borderId="1" xfId="0" applyNumberFormat="1" applyFont="1" applyFill="1" applyBorder="1" applyAlignment="1"/>
    <xf numFmtId="168" fontId="4" fillId="5" borderId="1" xfId="0" applyNumberFormat="1" applyFont="1" applyFill="1" applyBorder="1"/>
    <xf numFmtId="2" fontId="4" fillId="5" borderId="1" xfId="0" applyNumberFormat="1" applyFont="1" applyFill="1" applyBorder="1"/>
    <xf numFmtId="0" fontId="0" fillId="5" borderId="0" xfId="0" applyFont="1" applyFill="1" applyAlignment="1"/>
    <xf numFmtId="0" fontId="1" fillId="0" borderId="0" xfId="0" applyFont="1" applyAlignment="1"/>
    <xf numFmtId="0" fontId="8" fillId="2" borderId="1" xfId="0" applyFont="1" applyFill="1" applyBorder="1" applyAlignment="1">
      <alignment horizontal="left" vertical="top" wrapText="1"/>
    </xf>
    <xf numFmtId="17" fontId="5" fillId="5" borderId="2" xfId="0" applyNumberFormat="1" applyFont="1" applyFill="1" applyBorder="1" applyAlignment="1"/>
    <xf numFmtId="0" fontId="10" fillId="0" borderId="3" xfId="1" applyBorder="1"/>
    <xf numFmtId="0" fontId="7" fillId="5" borderId="3" xfId="0" applyFont="1" applyFill="1" applyBorder="1"/>
    <xf numFmtId="0" fontId="4" fillId="5" borderId="1" xfId="0" applyFont="1" applyFill="1" applyBorder="1"/>
    <xf numFmtId="165" fontId="4" fillId="5" borderId="1" xfId="0" applyNumberFormat="1" applyFont="1" applyFill="1" applyBorder="1"/>
    <xf numFmtId="166" fontId="4" fillId="5" borderId="1" xfId="0" applyNumberFormat="1" applyFont="1" applyFill="1" applyBorder="1"/>
    <xf numFmtId="167" fontId="4" fillId="5" borderId="1" xfId="0" applyNumberFormat="1" applyFont="1" applyFill="1" applyBorder="1"/>
    <xf numFmtId="0" fontId="7" fillId="5" borderId="4" xfId="0" applyFont="1" applyFill="1" applyBorder="1"/>
    <xf numFmtId="0" fontId="10" fillId="0" borderId="4" xfId="1" applyBorder="1"/>
    <xf numFmtId="0" fontId="10" fillId="5" borderId="3" xfId="1" applyFill="1" applyBorder="1"/>
    <xf numFmtId="14" fontId="8" fillId="2" borderId="3" xfId="0" applyNumberFormat="1" applyFont="1" applyFill="1" applyBorder="1" applyAlignment="1">
      <alignment horizontal="center" vertical="top"/>
    </xf>
    <xf numFmtId="14" fontId="0" fillId="0" borderId="2" xfId="0" applyNumberFormat="1" applyFont="1" applyBorder="1" applyAlignment="1"/>
    <xf numFmtId="14" fontId="0" fillId="0" borderId="0" xfId="0" applyNumberFormat="1" applyFont="1" applyAlignment="1"/>
    <xf numFmtId="169" fontId="5" fillId="5" borderId="2" xfId="0" applyNumberFormat="1" applyFont="1" applyFill="1" applyBorder="1" applyAlignment="1"/>
    <xf numFmtId="169" fontId="5" fillId="6" borderId="2" xfId="0" applyNumberFormat="1" applyFont="1" applyFill="1" applyBorder="1" applyAlignment="1"/>
    <xf numFmtId="9" fontId="4" fillId="5" borderId="1" xfId="0" applyNumberFormat="1" applyFont="1" applyFill="1" applyBorder="1"/>
    <xf numFmtId="9" fontId="6" fillId="0" borderId="1" xfId="0" applyNumberFormat="1" applyFont="1" applyBorder="1"/>
  </cellXfs>
  <cellStyles count="2">
    <cellStyle name="Hyperlink" xfId="1" builtinId="8"/>
    <cellStyle name="Normal" xfId="0" builtinId="0"/>
  </cellStyles>
  <dxfs count="12"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427363477072291"/>
          <c:y val="8.4975065616797907E-2"/>
          <c:w val="0.84586486938440175"/>
          <c:h val="0.77870551181102365"/>
        </c:manualLayout>
      </c:layout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'Output Data'!$D$2:$D$9</c:f>
              <c:strCache>
                <c:ptCount val="8"/>
                <c:pt idx="0">
                  <c:v>Rema</c:v>
                </c:pt>
                <c:pt idx="1">
                  <c:v>Deeksha Minhas</c:v>
                </c:pt>
                <c:pt idx="2">
                  <c:v>Kirti Jindal</c:v>
                </c:pt>
                <c:pt idx="3">
                  <c:v>Aarush Verma</c:v>
                </c:pt>
                <c:pt idx="4">
                  <c:v>Prem N</c:v>
                </c:pt>
                <c:pt idx="5">
                  <c:v>Nikhil Rawal</c:v>
                </c:pt>
                <c:pt idx="6">
                  <c:v>Shivam</c:v>
                </c:pt>
                <c:pt idx="7">
                  <c:v>Aditya Tomar</c:v>
                </c:pt>
              </c:strCache>
            </c:strRef>
          </c:cat>
          <c:val>
            <c:numRef>
              <c:f>'Output Data'!$L$2:$L$9</c:f>
              <c:numCache>
                <c:formatCode>[&gt;9999999][$₹]##\,##\,##\,##0;[&gt;99999][$₹]##\,##\,##0;[$₹]##,##0</c:formatCode>
                <c:ptCount val="8"/>
                <c:pt idx="0">
                  <c:v>133500</c:v>
                </c:pt>
                <c:pt idx="1">
                  <c:v>133500</c:v>
                </c:pt>
                <c:pt idx="2">
                  <c:v>229620</c:v>
                </c:pt>
                <c:pt idx="3">
                  <c:v>229620</c:v>
                </c:pt>
                <c:pt idx="4">
                  <c:v>229620</c:v>
                </c:pt>
                <c:pt idx="5">
                  <c:v>229620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EB6-43FD-9A02-FD83BC08B9D1}"/>
            </c:ext>
          </c:extLst>
        </c:ser>
        <c:ser>
          <c:idx val="1"/>
          <c:order val="1"/>
          <c:tx>
            <c:v>Cost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'Output Data'!$D$2:$D$9</c:f>
              <c:strCache>
                <c:ptCount val="8"/>
                <c:pt idx="0">
                  <c:v>Rema</c:v>
                </c:pt>
                <c:pt idx="1">
                  <c:v>Deeksha Minhas</c:v>
                </c:pt>
                <c:pt idx="2">
                  <c:v>Kirti Jindal</c:v>
                </c:pt>
                <c:pt idx="3">
                  <c:v>Aarush Verma</c:v>
                </c:pt>
                <c:pt idx="4">
                  <c:v>Prem N</c:v>
                </c:pt>
                <c:pt idx="5">
                  <c:v>Nikhil Rawal</c:v>
                </c:pt>
                <c:pt idx="6">
                  <c:v>Shivam</c:v>
                </c:pt>
                <c:pt idx="7">
                  <c:v>Aditya Tomar</c:v>
                </c:pt>
              </c:strCache>
            </c:strRef>
          </c:cat>
          <c:val>
            <c:numRef>
              <c:f>'Output Data'!$N$2:$N$9</c:f>
              <c:numCache>
                <c:formatCode>[$₹-820]#,##0.00</c:formatCode>
                <c:ptCount val="8"/>
                <c:pt idx="0">
                  <c:v>150000</c:v>
                </c:pt>
                <c:pt idx="1">
                  <c:v>125000</c:v>
                </c:pt>
                <c:pt idx="2">
                  <c:v>58333</c:v>
                </c:pt>
                <c:pt idx="3">
                  <c:v>58333</c:v>
                </c:pt>
                <c:pt idx="4">
                  <c:v>50000</c:v>
                </c:pt>
                <c:pt idx="5">
                  <c:v>58333</c:v>
                </c:pt>
                <c:pt idx="6">
                  <c:v>58333</c:v>
                </c:pt>
                <c:pt idx="7">
                  <c:v>500000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EB6-43FD-9A02-FD83BC08B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3954025"/>
        <c:axId val="1802871742"/>
      </c:barChart>
      <c:catAx>
        <c:axId val="1673954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02871742"/>
        <c:crosses val="autoZero"/>
        <c:auto val="1"/>
        <c:lblAlgn val="ctr"/>
        <c:lblOffset val="100"/>
        <c:noMultiLvlLbl val="1"/>
      </c:catAx>
      <c:valAx>
        <c:axId val="18028717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[&gt;9999999][$₹]##\,##\,##\,##0;[&gt;99999][$₹]##\,##\,##0;[$₹]#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395402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131445</xdr:colOff>
      <xdr:row>2</xdr:row>
      <xdr:rowOff>131445</xdr:rowOff>
    </xdr:from>
    <xdr:ext cx="6877050" cy="3810000"/>
    <xdr:graphicFrame macro="">
      <xdr:nvGraphicFramePr>
        <xdr:cNvPr id="30027574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hivam.nijhawan@kmgin.com" TargetMode="External"/><Relationship Id="rId13" Type="http://schemas.openxmlformats.org/officeDocument/2006/relationships/hyperlink" Target="mailto:kirti.jindal@kmgin.com" TargetMode="External"/><Relationship Id="rId18" Type="http://schemas.openxmlformats.org/officeDocument/2006/relationships/hyperlink" Target="mailto:aditya.tomar@kmgin.com" TargetMode="External"/><Relationship Id="rId3" Type="http://schemas.openxmlformats.org/officeDocument/2006/relationships/hyperlink" Target="mailto:deeksha.minhas@kmgin.com" TargetMode="External"/><Relationship Id="rId7" Type="http://schemas.openxmlformats.org/officeDocument/2006/relationships/hyperlink" Target="mailto:mahavir.routhan@kmgus.com" TargetMode="External"/><Relationship Id="rId12" Type="http://schemas.openxmlformats.org/officeDocument/2006/relationships/hyperlink" Target="mailto:deeksha.minhas@kmgin.com" TargetMode="External"/><Relationship Id="rId17" Type="http://schemas.openxmlformats.org/officeDocument/2006/relationships/hyperlink" Target="mailto:shivam.nijhawan@kmgin.com" TargetMode="External"/><Relationship Id="rId2" Type="http://schemas.openxmlformats.org/officeDocument/2006/relationships/hyperlink" Target="mailto:rema.ravindran@kmgus.com" TargetMode="External"/><Relationship Id="rId16" Type="http://schemas.openxmlformats.org/officeDocument/2006/relationships/hyperlink" Target="mailto:mahavir.routhan@kmgus.com" TargetMode="External"/><Relationship Id="rId1" Type="http://schemas.openxmlformats.org/officeDocument/2006/relationships/hyperlink" Target="mailto:kirti.jindal@kmgin.com" TargetMode="External"/><Relationship Id="rId6" Type="http://schemas.openxmlformats.org/officeDocument/2006/relationships/hyperlink" Target="mailto:prem.n@kmgin.com" TargetMode="External"/><Relationship Id="rId11" Type="http://schemas.openxmlformats.org/officeDocument/2006/relationships/hyperlink" Target="mailto:rema.ravindran@kmgus.com" TargetMode="External"/><Relationship Id="rId5" Type="http://schemas.openxmlformats.org/officeDocument/2006/relationships/hyperlink" Target="mailto:aarush.verma@kmgin.com" TargetMode="External"/><Relationship Id="rId15" Type="http://schemas.openxmlformats.org/officeDocument/2006/relationships/hyperlink" Target="mailto:prem.n@kmgin.com" TargetMode="External"/><Relationship Id="rId10" Type="http://schemas.openxmlformats.org/officeDocument/2006/relationships/hyperlink" Target="mailto:kirti.jindal@kmgin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kirti.jindal@kmgin.com" TargetMode="External"/><Relationship Id="rId9" Type="http://schemas.openxmlformats.org/officeDocument/2006/relationships/hyperlink" Target="mailto:aditya.tomar@kmgin.com" TargetMode="External"/><Relationship Id="rId14" Type="http://schemas.openxmlformats.org/officeDocument/2006/relationships/hyperlink" Target="mailto:aarush.verma@kmgin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hivam.nijhawan@kmgin.com" TargetMode="External"/><Relationship Id="rId13" Type="http://schemas.openxmlformats.org/officeDocument/2006/relationships/hyperlink" Target="mailto:kirti.jindal@kmgin.com" TargetMode="External"/><Relationship Id="rId18" Type="http://schemas.openxmlformats.org/officeDocument/2006/relationships/hyperlink" Target="mailto:aditya.tomar@kmgin.com" TargetMode="External"/><Relationship Id="rId3" Type="http://schemas.openxmlformats.org/officeDocument/2006/relationships/hyperlink" Target="mailto:deeksha.minhas@kmgin.com" TargetMode="External"/><Relationship Id="rId7" Type="http://schemas.openxmlformats.org/officeDocument/2006/relationships/hyperlink" Target="mailto:mahavir.routhan@kmgus.com" TargetMode="External"/><Relationship Id="rId12" Type="http://schemas.openxmlformats.org/officeDocument/2006/relationships/hyperlink" Target="mailto:deeksha.minhas@kmgin.com" TargetMode="External"/><Relationship Id="rId17" Type="http://schemas.openxmlformats.org/officeDocument/2006/relationships/hyperlink" Target="mailto:shivam.nijhawan@kmgin.com" TargetMode="External"/><Relationship Id="rId2" Type="http://schemas.openxmlformats.org/officeDocument/2006/relationships/hyperlink" Target="mailto:rema.ravindran@kmgus.com" TargetMode="External"/><Relationship Id="rId16" Type="http://schemas.openxmlformats.org/officeDocument/2006/relationships/hyperlink" Target="mailto:mahavir.routhan@kmgus.com" TargetMode="External"/><Relationship Id="rId1" Type="http://schemas.openxmlformats.org/officeDocument/2006/relationships/hyperlink" Target="mailto:kirti.jindal@kmgin.com" TargetMode="External"/><Relationship Id="rId6" Type="http://schemas.openxmlformats.org/officeDocument/2006/relationships/hyperlink" Target="mailto:prem.n@kmgin.com" TargetMode="External"/><Relationship Id="rId11" Type="http://schemas.openxmlformats.org/officeDocument/2006/relationships/hyperlink" Target="mailto:rema.ravindran@kmgus.com" TargetMode="External"/><Relationship Id="rId5" Type="http://schemas.openxmlformats.org/officeDocument/2006/relationships/hyperlink" Target="mailto:aarush.verma@kmgin.com" TargetMode="External"/><Relationship Id="rId15" Type="http://schemas.openxmlformats.org/officeDocument/2006/relationships/hyperlink" Target="mailto:prem.n@kmgin.com" TargetMode="External"/><Relationship Id="rId10" Type="http://schemas.openxmlformats.org/officeDocument/2006/relationships/hyperlink" Target="mailto:kirti.jindal@kmgin.com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mailto:kirti.jindal@kmgin.com" TargetMode="External"/><Relationship Id="rId9" Type="http://schemas.openxmlformats.org/officeDocument/2006/relationships/hyperlink" Target="mailto:aditya.tomar@kmgin.com" TargetMode="External"/><Relationship Id="rId14" Type="http://schemas.openxmlformats.org/officeDocument/2006/relationships/hyperlink" Target="mailto:aarush.verma@kmg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>
      <selection activeCell="S9" sqref="S9"/>
    </sheetView>
  </sheetViews>
  <sheetFormatPr defaultColWidth="14.44140625" defaultRowHeight="15" customHeight="1" x14ac:dyDescent="0.3"/>
  <cols>
    <col min="1" max="26" width="8.6640625" customWidth="1"/>
  </cols>
  <sheetData>
    <row r="1" spans="1:1" ht="14.4" x14ac:dyDescent="0.3">
      <c r="A1" s="1" t="s">
        <v>0</v>
      </c>
    </row>
    <row r="3" spans="1:1" ht="14.4" x14ac:dyDescent="0.3">
      <c r="A3" s="1" t="s">
        <v>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opLeftCell="B1" workbookViewId="0">
      <selection activeCell="F1" sqref="F1:F1048576"/>
    </sheetView>
  </sheetViews>
  <sheetFormatPr defaultRowHeight="14.4" x14ac:dyDescent="0.3"/>
  <cols>
    <col min="1" max="1" width="10.77734375" bestFit="1" customWidth="1"/>
    <col min="2" max="2" width="10.21875" bestFit="1" customWidth="1"/>
    <col min="3" max="3" width="25" bestFit="1" customWidth="1"/>
    <col min="4" max="4" width="14.33203125" bestFit="1" customWidth="1"/>
    <col min="5" max="5" width="23.6640625" bestFit="1" customWidth="1"/>
    <col min="6" max="6" width="10.5546875" bestFit="1" customWidth="1"/>
    <col min="7" max="7" width="13.109375" bestFit="1" customWidth="1"/>
    <col min="8" max="8" width="15" bestFit="1" customWidth="1"/>
    <col min="9" max="9" width="12.88671875" bestFit="1" customWidth="1"/>
    <col min="10" max="10" width="18.44140625" bestFit="1" customWidth="1"/>
    <col min="11" max="11" width="14" customWidth="1"/>
    <col min="12" max="12" width="8" bestFit="1" customWidth="1"/>
    <col min="13" max="13" width="16.44140625" bestFit="1" customWidth="1"/>
    <col min="14" max="14" width="16.6640625" bestFit="1" customWidth="1"/>
    <col min="15" max="15" width="10.77734375" bestFit="1" customWidth="1"/>
    <col min="16" max="16" width="11.88671875" bestFit="1" customWidth="1"/>
  </cols>
  <sheetData>
    <row r="1" spans="1:16" s="20" customFormat="1" ht="27.6" x14ac:dyDescent="0.3">
      <c r="A1" s="16" t="s">
        <v>17</v>
      </c>
      <c r="B1" s="16" t="s">
        <v>32</v>
      </c>
      <c r="C1" s="17" t="s">
        <v>33</v>
      </c>
      <c r="D1" s="17" t="s">
        <v>2</v>
      </c>
      <c r="E1" s="17" t="s">
        <v>3</v>
      </c>
      <c r="F1" s="17" t="s">
        <v>42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8" t="s">
        <v>9</v>
      </c>
      <c r="M1" s="26" t="s">
        <v>31</v>
      </c>
      <c r="N1" s="17" t="s">
        <v>11</v>
      </c>
      <c r="O1" s="17" t="s">
        <v>12</v>
      </c>
      <c r="P1" s="19" t="s">
        <v>13</v>
      </c>
    </row>
    <row r="2" spans="1:16" s="24" customFormat="1" x14ac:dyDescent="0.3">
      <c r="A2" s="41">
        <v>45778</v>
      </c>
      <c r="B2" s="29" t="s">
        <v>14</v>
      </c>
      <c r="C2" s="28" t="s">
        <v>35</v>
      </c>
      <c r="D2" s="30" t="s">
        <v>15</v>
      </c>
      <c r="E2" s="30" t="s">
        <v>16</v>
      </c>
      <c r="F2" s="42">
        <v>0.5</v>
      </c>
      <c r="G2" s="21">
        <v>30</v>
      </c>
      <c r="H2" s="31"/>
      <c r="I2" s="30">
        <v>50</v>
      </c>
      <c r="J2" s="32"/>
      <c r="K2" s="32"/>
      <c r="L2" s="33"/>
      <c r="M2" s="22">
        <v>1800000</v>
      </c>
      <c r="N2" s="22"/>
      <c r="O2" s="33"/>
      <c r="P2" s="23">
        <f t="shared" ref="P2:P19" si="0">IF(L2=0,0,(O2/L2)*100)</f>
        <v>0</v>
      </c>
    </row>
    <row r="3" spans="1:16" x14ac:dyDescent="0.3">
      <c r="A3" s="40">
        <v>45778</v>
      </c>
      <c r="B3" s="29" t="s">
        <v>14</v>
      </c>
      <c r="C3" s="28" t="s">
        <v>34</v>
      </c>
      <c r="D3" s="14" t="s">
        <v>18</v>
      </c>
      <c r="E3" s="14" t="s">
        <v>19</v>
      </c>
      <c r="F3" s="43">
        <v>0.5</v>
      </c>
      <c r="G3" s="21">
        <v>30</v>
      </c>
      <c r="H3" s="4"/>
      <c r="I3" s="2">
        <v>50</v>
      </c>
      <c r="J3" s="5"/>
      <c r="K3" s="5"/>
      <c r="L3" s="6"/>
      <c r="M3" s="22">
        <v>1500000</v>
      </c>
      <c r="N3" s="22"/>
      <c r="O3" s="15"/>
      <c r="P3" s="7">
        <f t="shared" si="0"/>
        <v>0</v>
      </c>
    </row>
    <row r="4" spans="1:16" x14ac:dyDescent="0.3">
      <c r="A4" s="40">
        <v>45778</v>
      </c>
      <c r="B4" s="29" t="s">
        <v>14</v>
      </c>
      <c r="C4" s="28" t="s">
        <v>36</v>
      </c>
      <c r="D4" s="14" t="s">
        <v>21</v>
      </c>
      <c r="E4" s="14" t="s">
        <v>26</v>
      </c>
      <c r="F4" s="43">
        <v>1</v>
      </c>
      <c r="G4" s="3">
        <v>15</v>
      </c>
      <c r="H4" s="4"/>
      <c r="I4" s="2">
        <v>172</v>
      </c>
      <c r="J4" s="5"/>
      <c r="K4" s="5"/>
      <c r="L4" s="6"/>
      <c r="M4" s="22">
        <v>700000</v>
      </c>
      <c r="N4" s="22"/>
      <c r="O4" s="15"/>
      <c r="P4" s="7">
        <f t="shared" si="0"/>
        <v>0</v>
      </c>
    </row>
    <row r="5" spans="1:16" x14ac:dyDescent="0.3">
      <c r="A5" s="40">
        <v>45778</v>
      </c>
      <c r="B5" s="29" t="s">
        <v>14</v>
      </c>
      <c r="C5" s="28" t="s">
        <v>37</v>
      </c>
      <c r="D5" s="14" t="s">
        <v>22</v>
      </c>
      <c r="E5" s="14" t="s">
        <v>26</v>
      </c>
      <c r="F5" s="43">
        <v>1</v>
      </c>
      <c r="G5" s="3">
        <v>15</v>
      </c>
      <c r="H5" s="4"/>
      <c r="I5" s="2">
        <v>172</v>
      </c>
      <c r="J5" s="5"/>
      <c r="K5" s="5"/>
      <c r="L5" s="6"/>
      <c r="M5" s="22">
        <v>700000</v>
      </c>
      <c r="N5" s="22"/>
      <c r="O5" s="15"/>
      <c r="P5" s="7">
        <f t="shared" si="0"/>
        <v>0</v>
      </c>
    </row>
    <row r="6" spans="1:16" x14ac:dyDescent="0.3">
      <c r="A6" s="40">
        <v>45778</v>
      </c>
      <c r="B6" s="29" t="s">
        <v>14</v>
      </c>
      <c r="C6" s="28" t="s">
        <v>38</v>
      </c>
      <c r="D6" s="14" t="s">
        <v>23</v>
      </c>
      <c r="E6" s="14" t="s">
        <v>27</v>
      </c>
      <c r="F6" s="43">
        <v>1</v>
      </c>
      <c r="G6" s="3">
        <v>15</v>
      </c>
      <c r="H6" s="4"/>
      <c r="I6" s="2">
        <v>172</v>
      </c>
      <c r="J6" s="5"/>
      <c r="K6" s="5"/>
      <c r="L6" s="6"/>
      <c r="M6" s="22">
        <v>600000</v>
      </c>
      <c r="N6" s="22"/>
      <c r="O6" s="15"/>
      <c r="P6" s="7">
        <f t="shared" si="0"/>
        <v>0</v>
      </c>
    </row>
    <row r="7" spans="1:16" x14ac:dyDescent="0.3">
      <c r="A7" s="40">
        <v>45778</v>
      </c>
      <c r="B7" s="29" t="s">
        <v>14</v>
      </c>
      <c r="C7" s="28" t="s">
        <v>36</v>
      </c>
      <c r="D7" s="14" t="s">
        <v>28</v>
      </c>
      <c r="E7" s="14" t="s">
        <v>27</v>
      </c>
      <c r="F7" s="43">
        <v>1</v>
      </c>
      <c r="G7" s="3">
        <v>15</v>
      </c>
      <c r="H7" s="4"/>
      <c r="I7" s="2">
        <v>172</v>
      </c>
      <c r="J7" s="5"/>
      <c r="K7" s="5"/>
      <c r="L7" s="6"/>
      <c r="M7" s="22">
        <v>700000</v>
      </c>
      <c r="N7" s="22"/>
      <c r="O7" s="15"/>
      <c r="P7" s="7">
        <f t="shared" si="0"/>
        <v>0</v>
      </c>
    </row>
    <row r="8" spans="1:16" x14ac:dyDescent="0.3">
      <c r="A8" s="40">
        <v>45778</v>
      </c>
      <c r="B8" s="29" t="s">
        <v>14</v>
      </c>
      <c r="C8" s="28" t="s">
        <v>39</v>
      </c>
      <c r="D8" s="14" t="s">
        <v>24</v>
      </c>
      <c r="E8" s="14" t="s">
        <v>27</v>
      </c>
      <c r="F8" s="43">
        <v>0</v>
      </c>
      <c r="G8" s="3">
        <v>15</v>
      </c>
      <c r="H8" s="4"/>
      <c r="I8" s="2">
        <v>0</v>
      </c>
      <c r="J8" s="5"/>
      <c r="K8" s="5"/>
      <c r="L8" s="6"/>
      <c r="M8" s="22">
        <v>700000</v>
      </c>
      <c r="N8" s="22"/>
      <c r="O8" s="15"/>
      <c r="P8" s="7">
        <f t="shared" si="0"/>
        <v>0</v>
      </c>
    </row>
    <row r="9" spans="1:16" x14ac:dyDescent="0.3">
      <c r="A9" s="40">
        <v>45778</v>
      </c>
      <c r="B9" s="29" t="s">
        <v>14</v>
      </c>
      <c r="C9" s="28" t="s">
        <v>40</v>
      </c>
      <c r="D9" s="14" t="s">
        <v>25</v>
      </c>
      <c r="E9" s="14" t="s">
        <v>29</v>
      </c>
      <c r="F9" s="43">
        <v>0</v>
      </c>
      <c r="G9" s="3">
        <v>15</v>
      </c>
      <c r="H9" s="4"/>
      <c r="I9" s="2">
        <v>0</v>
      </c>
      <c r="J9" s="5"/>
      <c r="K9" s="5"/>
      <c r="L9" s="6"/>
      <c r="M9" s="22">
        <v>500000</v>
      </c>
      <c r="N9" s="22"/>
      <c r="O9" s="15"/>
      <c r="P9" s="7">
        <f t="shared" si="0"/>
        <v>0</v>
      </c>
    </row>
    <row r="10" spans="1:16" x14ac:dyDescent="0.3">
      <c r="A10" s="40">
        <v>45778</v>
      </c>
      <c r="B10" s="29" t="s">
        <v>14</v>
      </c>
      <c r="C10" s="28" t="s">
        <v>41</v>
      </c>
      <c r="D10" s="14" t="s">
        <v>20</v>
      </c>
      <c r="E10" s="14" t="s">
        <v>30</v>
      </c>
      <c r="F10" s="43">
        <v>0.5</v>
      </c>
      <c r="G10" s="3">
        <v>15</v>
      </c>
      <c r="H10" s="4"/>
      <c r="I10" s="2">
        <v>160</v>
      </c>
      <c r="J10" s="5"/>
      <c r="K10" s="5"/>
      <c r="L10" s="6"/>
      <c r="M10" s="22">
        <v>1500000</v>
      </c>
      <c r="N10" s="22"/>
      <c r="O10" s="15"/>
      <c r="P10" s="7">
        <f t="shared" si="0"/>
        <v>0</v>
      </c>
    </row>
    <row r="11" spans="1:16" s="24" customFormat="1" x14ac:dyDescent="0.3">
      <c r="A11" s="41">
        <v>45809</v>
      </c>
      <c r="B11" s="29" t="s">
        <v>14</v>
      </c>
      <c r="C11" s="28" t="s">
        <v>35</v>
      </c>
      <c r="D11" s="30" t="s">
        <v>15</v>
      </c>
      <c r="E11" s="30" t="s">
        <v>16</v>
      </c>
      <c r="F11" s="42">
        <v>0.5</v>
      </c>
      <c r="G11" s="21">
        <v>30</v>
      </c>
      <c r="H11" s="31"/>
      <c r="I11" s="30">
        <v>50</v>
      </c>
      <c r="J11" s="32"/>
      <c r="K11" s="32"/>
      <c r="L11" s="33"/>
      <c r="M11" s="22">
        <v>1800000</v>
      </c>
      <c r="N11" s="22"/>
      <c r="O11" s="33"/>
      <c r="P11" s="23">
        <f t="shared" si="0"/>
        <v>0</v>
      </c>
    </row>
    <row r="12" spans="1:16" x14ac:dyDescent="0.3">
      <c r="A12" s="40">
        <v>45809</v>
      </c>
      <c r="B12" s="29" t="s">
        <v>14</v>
      </c>
      <c r="C12" s="28" t="s">
        <v>34</v>
      </c>
      <c r="D12" s="14" t="s">
        <v>18</v>
      </c>
      <c r="E12" s="14" t="s">
        <v>19</v>
      </c>
      <c r="F12" s="43">
        <v>0.5</v>
      </c>
      <c r="G12" s="21">
        <v>30</v>
      </c>
      <c r="H12" s="4"/>
      <c r="I12" s="2">
        <v>50</v>
      </c>
      <c r="J12" s="5"/>
      <c r="K12" s="5"/>
      <c r="L12" s="6"/>
      <c r="M12" s="22">
        <v>1500000</v>
      </c>
      <c r="N12" s="22"/>
      <c r="O12" s="15"/>
      <c r="P12" s="7">
        <f t="shared" si="0"/>
        <v>0</v>
      </c>
    </row>
    <row r="13" spans="1:16" x14ac:dyDescent="0.3">
      <c r="A13" s="40">
        <v>45809</v>
      </c>
      <c r="B13" s="29" t="s">
        <v>14</v>
      </c>
      <c r="C13" s="28" t="s">
        <v>36</v>
      </c>
      <c r="D13" s="14" t="s">
        <v>21</v>
      </c>
      <c r="E13" s="14" t="s">
        <v>26</v>
      </c>
      <c r="F13" s="43">
        <v>1</v>
      </c>
      <c r="G13" s="3" t="s">
        <v>43</v>
      </c>
      <c r="H13" s="4"/>
      <c r="I13" s="2">
        <v>172</v>
      </c>
      <c r="J13" s="5"/>
      <c r="K13" s="5"/>
      <c r="L13" s="6"/>
      <c r="M13" s="22">
        <v>700000</v>
      </c>
      <c r="N13" s="22"/>
      <c r="O13" s="15"/>
      <c r="P13" s="7">
        <f t="shared" si="0"/>
        <v>0</v>
      </c>
    </row>
    <row r="14" spans="1:16" x14ac:dyDescent="0.3">
      <c r="A14" s="40">
        <v>45809</v>
      </c>
      <c r="B14" s="29" t="s">
        <v>14</v>
      </c>
      <c r="C14" s="28" t="s">
        <v>37</v>
      </c>
      <c r="D14" s="14" t="s">
        <v>22</v>
      </c>
      <c r="E14" s="14" t="s">
        <v>26</v>
      </c>
      <c r="F14" s="43">
        <v>1</v>
      </c>
      <c r="G14" s="3">
        <v>15</v>
      </c>
      <c r="H14" s="4"/>
      <c r="I14" s="2">
        <v>172</v>
      </c>
      <c r="J14" s="5"/>
      <c r="K14" s="5"/>
      <c r="L14" s="6"/>
      <c r="M14" s="22">
        <v>700000</v>
      </c>
      <c r="N14" s="22"/>
      <c r="O14" s="15"/>
      <c r="P14" s="7">
        <f t="shared" si="0"/>
        <v>0</v>
      </c>
    </row>
    <row r="15" spans="1:16" x14ac:dyDescent="0.3">
      <c r="A15" s="40">
        <v>45809</v>
      </c>
      <c r="B15" s="29" t="s">
        <v>14</v>
      </c>
      <c r="C15" s="28" t="s">
        <v>38</v>
      </c>
      <c r="D15" s="14" t="s">
        <v>23</v>
      </c>
      <c r="E15" s="14" t="s">
        <v>27</v>
      </c>
      <c r="F15" s="43">
        <v>1</v>
      </c>
      <c r="G15" s="3">
        <v>15</v>
      </c>
      <c r="H15" s="4"/>
      <c r="I15" s="2">
        <v>172</v>
      </c>
      <c r="J15" s="5"/>
      <c r="K15" s="5"/>
      <c r="L15" s="6"/>
      <c r="M15" s="22">
        <v>600000</v>
      </c>
      <c r="N15" s="22"/>
      <c r="O15" s="15"/>
      <c r="P15" s="7">
        <f t="shared" si="0"/>
        <v>0</v>
      </c>
    </row>
    <row r="16" spans="1:16" x14ac:dyDescent="0.3">
      <c r="A16" s="40">
        <v>45809</v>
      </c>
      <c r="B16" s="29" t="s">
        <v>14</v>
      </c>
      <c r="C16" s="28" t="s">
        <v>36</v>
      </c>
      <c r="D16" s="14" t="s">
        <v>28</v>
      </c>
      <c r="E16" s="14" t="s">
        <v>27</v>
      </c>
      <c r="F16" s="43">
        <v>1</v>
      </c>
      <c r="G16" s="3">
        <v>15</v>
      </c>
      <c r="H16" s="4"/>
      <c r="I16" s="2">
        <v>172</v>
      </c>
      <c r="J16" s="5"/>
      <c r="K16" s="5"/>
      <c r="L16" s="6"/>
      <c r="M16" s="22">
        <v>700000</v>
      </c>
      <c r="N16" s="22"/>
      <c r="O16" s="15"/>
      <c r="P16" s="7">
        <f t="shared" si="0"/>
        <v>0</v>
      </c>
    </row>
    <row r="17" spans="1:16" x14ac:dyDescent="0.3">
      <c r="A17" s="40">
        <v>45809</v>
      </c>
      <c r="B17" s="29" t="s">
        <v>14</v>
      </c>
      <c r="C17" s="28" t="s">
        <v>39</v>
      </c>
      <c r="D17" s="14" t="s">
        <v>24</v>
      </c>
      <c r="E17" s="14" t="s">
        <v>27</v>
      </c>
      <c r="F17" s="43">
        <v>0</v>
      </c>
      <c r="G17" s="3">
        <v>15</v>
      </c>
      <c r="H17" s="4"/>
      <c r="I17" s="2">
        <v>0</v>
      </c>
      <c r="J17" s="5"/>
      <c r="K17" s="5"/>
      <c r="L17" s="6"/>
      <c r="M17" s="22">
        <v>700000</v>
      </c>
      <c r="N17" s="22"/>
      <c r="O17" s="15"/>
      <c r="P17" s="7">
        <f t="shared" si="0"/>
        <v>0</v>
      </c>
    </row>
    <row r="18" spans="1:16" x14ac:dyDescent="0.3">
      <c r="A18" s="40">
        <v>45809</v>
      </c>
      <c r="B18" s="29" t="s">
        <v>14</v>
      </c>
      <c r="C18" s="28" t="s">
        <v>40</v>
      </c>
      <c r="D18" s="14" t="s">
        <v>25</v>
      </c>
      <c r="E18" s="14" t="s">
        <v>29</v>
      </c>
      <c r="F18" s="43">
        <v>0</v>
      </c>
      <c r="G18" s="3">
        <v>15</v>
      </c>
      <c r="H18" s="4"/>
      <c r="I18" s="2">
        <v>0</v>
      </c>
      <c r="J18" s="5"/>
      <c r="K18" s="5"/>
      <c r="L18" s="6"/>
      <c r="M18" s="22">
        <v>500000</v>
      </c>
      <c r="N18" s="22"/>
      <c r="O18" s="15"/>
      <c r="P18" s="7">
        <f t="shared" si="0"/>
        <v>0</v>
      </c>
    </row>
    <row r="19" spans="1:16" x14ac:dyDescent="0.3">
      <c r="A19" s="40">
        <v>45809</v>
      </c>
      <c r="B19" s="29" t="s">
        <v>14</v>
      </c>
      <c r="C19" s="28" t="s">
        <v>41</v>
      </c>
      <c r="D19" s="14" t="s">
        <v>20</v>
      </c>
      <c r="E19" s="14" t="s">
        <v>30</v>
      </c>
      <c r="F19" s="43">
        <v>0.5</v>
      </c>
      <c r="G19" s="3">
        <v>15</v>
      </c>
      <c r="H19" s="4"/>
      <c r="I19" s="2">
        <v>160</v>
      </c>
      <c r="J19" s="5"/>
      <c r="K19" s="5"/>
      <c r="L19" s="6"/>
      <c r="M19" s="22">
        <v>1500000</v>
      </c>
      <c r="N19" s="22"/>
      <c r="O19" s="15"/>
      <c r="P19" s="7">
        <f t="shared" si="0"/>
        <v>0</v>
      </c>
    </row>
    <row r="20" spans="1:16" x14ac:dyDescent="0.3">
      <c r="A20" s="27"/>
      <c r="B20" s="29"/>
      <c r="C20" s="13"/>
      <c r="D20" s="8"/>
      <c r="E20" s="8"/>
      <c r="F20" s="8"/>
      <c r="G20" s="8"/>
      <c r="H20" s="8"/>
      <c r="I20" s="8"/>
      <c r="J20" s="9">
        <f>SUM(J2:J19)</f>
        <v>0</v>
      </c>
      <c r="K20" s="9">
        <f>SUM(K2:K19)</f>
        <v>0</v>
      </c>
      <c r="L20" s="10">
        <f>SUM(L2:L19)</f>
        <v>0</v>
      </c>
      <c r="M20" s="8"/>
      <c r="N20" s="10">
        <f>SUM(N2:N19)</f>
        <v>0</v>
      </c>
      <c r="O20" s="10">
        <f>L20-N20</f>
        <v>0</v>
      </c>
      <c r="P20" s="11">
        <f>IF(L20=0,0,(O20/L20)*100)</f>
        <v>0</v>
      </c>
    </row>
  </sheetData>
  <conditionalFormatting sqref="O2:P2 P3:P10 O3:O19">
    <cfRule type="cellIs" dxfId="11" priority="4" operator="lessThan">
      <formula>0</formula>
    </cfRule>
  </conditionalFormatting>
  <conditionalFormatting sqref="O2:P2 P3:P10 O3:O19">
    <cfRule type="cellIs" dxfId="10" priority="5" operator="greaterThan">
      <formula>0</formula>
    </cfRule>
  </conditionalFormatting>
  <conditionalFormatting sqref="P2:P10">
    <cfRule type="cellIs" dxfId="9" priority="6" operator="equal">
      <formula>0</formula>
    </cfRule>
  </conditionalFormatting>
  <conditionalFormatting sqref="P11:P19">
    <cfRule type="cellIs" dxfId="8" priority="1" operator="lessThan">
      <formula>0</formula>
    </cfRule>
  </conditionalFormatting>
  <conditionalFormatting sqref="P11:P19">
    <cfRule type="cellIs" dxfId="7" priority="2" operator="greaterThan">
      <formula>0</formula>
    </cfRule>
  </conditionalFormatting>
  <conditionalFormatting sqref="P11:P19">
    <cfRule type="cellIs" dxfId="6" priority="3" operator="equal">
      <formula>0</formula>
    </cfRule>
  </conditionalFormatting>
  <hyperlinks>
    <hyperlink ref="C4" r:id="rId1"/>
    <hyperlink ref="C2" r:id="rId2"/>
    <hyperlink ref="C3" r:id="rId3"/>
    <hyperlink ref="C7" r:id="rId4"/>
    <hyperlink ref="C5" r:id="rId5"/>
    <hyperlink ref="C6" r:id="rId6"/>
    <hyperlink ref="C10" r:id="rId7"/>
    <hyperlink ref="C8" r:id="rId8"/>
    <hyperlink ref="C9" r:id="rId9"/>
    <hyperlink ref="C13" r:id="rId10"/>
    <hyperlink ref="C11" r:id="rId11"/>
    <hyperlink ref="C12" r:id="rId12"/>
    <hyperlink ref="C16" r:id="rId13"/>
    <hyperlink ref="C14" r:id="rId14"/>
    <hyperlink ref="C15" r:id="rId15"/>
    <hyperlink ref="C19" r:id="rId16"/>
    <hyperlink ref="C17" r:id="rId17"/>
    <hyperlink ref="C18" r:id="rId18"/>
  </hyperlinks>
  <pageMargins left="0.7" right="0.7" top="0.75" bottom="0.75" header="0.3" footer="0.3"/>
  <pageSetup orientation="portrait" r:id="rId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3"/>
  <sheetViews>
    <sheetView tabSelected="1" workbookViewId="0">
      <pane ySplit="1" topLeftCell="A2" activePane="bottomLeft" state="frozen"/>
      <selection pane="bottomLeft" activeCell="E24" sqref="E24"/>
    </sheetView>
  </sheetViews>
  <sheetFormatPr defaultColWidth="14.44140625" defaultRowHeight="15" customHeight="1" x14ac:dyDescent="0.3"/>
  <cols>
    <col min="1" max="1" width="14.109375" style="39" customWidth="1"/>
    <col min="2" max="2" width="10.21875" bestFit="1" customWidth="1"/>
    <col min="3" max="3" width="25" bestFit="1" customWidth="1"/>
    <col min="4" max="4" width="14.33203125" bestFit="1" customWidth="1"/>
    <col min="5" max="5" width="23.21875" customWidth="1"/>
    <col min="6" max="6" width="10.5546875" bestFit="1" customWidth="1"/>
    <col min="7" max="7" width="13.109375" bestFit="1" customWidth="1"/>
    <col min="8" max="8" width="15" bestFit="1" customWidth="1"/>
    <col min="9" max="9" width="12.88671875" bestFit="1" customWidth="1"/>
    <col min="10" max="10" width="18.44140625" bestFit="1" customWidth="1"/>
    <col min="11" max="11" width="14.6640625" bestFit="1" customWidth="1"/>
    <col min="12" max="12" width="10.109375" bestFit="1" customWidth="1"/>
    <col min="13" max="13" width="19" bestFit="1" customWidth="1"/>
    <col min="14" max="14" width="16.6640625" bestFit="1" customWidth="1"/>
    <col min="15" max="15" width="9.5546875" bestFit="1" customWidth="1"/>
    <col min="16" max="16" width="11.88671875" bestFit="1" customWidth="1"/>
    <col min="17" max="31" width="8.6640625" customWidth="1"/>
  </cols>
  <sheetData>
    <row r="1" spans="1:16" s="20" customFormat="1" ht="27.6" x14ac:dyDescent="0.3">
      <c r="A1" s="37" t="s">
        <v>17</v>
      </c>
      <c r="B1" s="16" t="s">
        <v>32</v>
      </c>
      <c r="C1" s="17" t="s">
        <v>33</v>
      </c>
      <c r="D1" s="17" t="s">
        <v>2</v>
      </c>
      <c r="E1" s="17" t="s">
        <v>3</v>
      </c>
      <c r="F1" s="17" t="s">
        <v>42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8" t="s">
        <v>9</v>
      </c>
      <c r="M1" s="17" t="s">
        <v>10</v>
      </c>
      <c r="N1" s="17" t="s">
        <v>11</v>
      </c>
      <c r="O1" s="17" t="s">
        <v>12</v>
      </c>
      <c r="P1" s="19" t="s">
        <v>13</v>
      </c>
    </row>
    <row r="2" spans="1:16" s="24" customFormat="1" ht="14.4" x14ac:dyDescent="0.3">
      <c r="A2" s="41">
        <v>45778</v>
      </c>
      <c r="B2" s="29" t="s">
        <v>14</v>
      </c>
      <c r="C2" s="36" t="s">
        <v>35</v>
      </c>
      <c r="D2" s="30" t="s">
        <v>15</v>
      </c>
      <c r="E2" s="30" t="s">
        <v>16</v>
      </c>
      <c r="F2" s="42">
        <v>0.5</v>
      </c>
      <c r="G2" s="21">
        <v>30</v>
      </c>
      <c r="H2" s="31">
        <f>30*89</f>
        <v>2670</v>
      </c>
      <c r="I2" s="30">
        <v>50</v>
      </c>
      <c r="J2" s="32">
        <f>I2*G2</f>
        <v>1500</v>
      </c>
      <c r="K2" s="32">
        <f>J2*12</f>
        <v>18000</v>
      </c>
      <c r="L2" s="33">
        <f>H2*I2</f>
        <v>133500</v>
      </c>
      <c r="M2" s="22">
        <v>1800000</v>
      </c>
      <c r="N2" s="22">
        <v>150000</v>
      </c>
      <c r="O2" s="33">
        <f>L2-N2</f>
        <v>-16500</v>
      </c>
      <c r="P2" s="23">
        <f t="shared" ref="P2:P19" si="0">IF(L2=0,0,(O2/L2)*100)</f>
        <v>-12.359550561797752</v>
      </c>
    </row>
    <row r="3" spans="1:16" ht="14.4" x14ac:dyDescent="0.3">
      <c r="A3" s="40">
        <v>45778</v>
      </c>
      <c r="B3" s="29" t="s">
        <v>14</v>
      </c>
      <c r="C3" s="28" t="s">
        <v>34</v>
      </c>
      <c r="D3" s="14" t="s">
        <v>18</v>
      </c>
      <c r="E3" s="14" t="s">
        <v>19</v>
      </c>
      <c r="F3" s="43">
        <v>0.5</v>
      </c>
      <c r="G3" s="21">
        <v>30</v>
      </c>
      <c r="H3" s="4">
        <f>30*89</f>
        <v>2670</v>
      </c>
      <c r="I3" s="2">
        <v>50</v>
      </c>
      <c r="J3" s="5">
        <f t="shared" ref="J3:J10" si="1">I3*G3</f>
        <v>1500</v>
      </c>
      <c r="K3" s="5">
        <f t="shared" ref="K3:K10" si="2">J3*12</f>
        <v>18000</v>
      </c>
      <c r="L3" s="6">
        <f t="shared" ref="L3:L19" si="3">H3*I3</f>
        <v>133500</v>
      </c>
      <c r="M3" s="22">
        <v>1500000</v>
      </c>
      <c r="N3" s="22">
        <v>125000</v>
      </c>
      <c r="O3" s="15">
        <f t="shared" ref="O3:O19" si="4">L3-N3</f>
        <v>8500</v>
      </c>
      <c r="P3" s="7">
        <f t="shared" si="0"/>
        <v>6.3670411985018731</v>
      </c>
    </row>
    <row r="4" spans="1:16" ht="14.4" x14ac:dyDescent="0.3">
      <c r="A4" s="40">
        <v>45778</v>
      </c>
      <c r="B4" s="29" t="s">
        <v>14</v>
      </c>
      <c r="C4" s="28" t="s">
        <v>36</v>
      </c>
      <c r="D4" s="14" t="s">
        <v>21</v>
      </c>
      <c r="E4" s="14" t="s">
        <v>26</v>
      </c>
      <c r="F4" s="43">
        <v>1</v>
      </c>
      <c r="G4" s="3">
        <v>15</v>
      </c>
      <c r="H4" s="4">
        <f>15*89</f>
        <v>1335</v>
      </c>
      <c r="I4" s="2">
        <v>172</v>
      </c>
      <c r="J4" s="5">
        <f t="shared" si="1"/>
        <v>2580</v>
      </c>
      <c r="K4" s="5">
        <f t="shared" si="2"/>
        <v>30960</v>
      </c>
      <c r="L4" s="6">
        <f t="shared" si="3"/>
        <v>229620</v>
      </c>
      <c r="M4" s="22">
        <v>700000</v>
      </c>
      <c r="N4" s="22">
        <v>58333</v>
      </c>
      <c r="O4" s="15">
        <f t="shared" si="4"/>
        <v>171287</v>
      </c>
      <c r="P4" s="7">
        <f t="shared" si="0"/>
        <v>74.595854019684694</v>
      </c>
    </row>
    <row r="5" spans="1:16" ht="14.4" x14ac:dyDescent="0.3">
      <c r="A5" s="40">
        <v>45778</v>
      </c>
      <c r="B5" s="29" t="s">
        <v>14</v>
      </c>
      <c r="C5" s="28" t="s">
        <v>37</v>
      </c>
      <c r="D5" s="14" t="s">
        <v>22</v>
      </c>
      <c r="E5" s="14" t="s">
        <v>26</v>
      </c>
      <c r="F5" s="43">
        <v>1</v>
      </c>
      <c r="G5" s="3">
        <v>15</v>
      </c>
      <c r="H5" s="4">
        <f t="shared" ref="H5:H10" si="5">15*89</f>
        <v>1335</v>
      </c>
      <c r="I5" s="2">
        <v>172</v>
      </c>
      <c r="J5" s="5">
        <f t="shared" si="1"/>
        <v>2580</v>
      </c>
      <c r="K5" s="5">
        <f t="shared" si="2"/>
        <v>30960</v>
      </c>
      <c r="L5" s="6">
        <f t="shared" si="3"/>
        <v>229620</v>
      </c>
      <c r="M5" s="22">
        <v>700000</v>
      </c>
      <c r="N5" s="22">
        <v>58333</v>
      </c>
      <c r="O5" s="15">
        <f t="shared" si="4"/>
        <v>171287</v>
      </c>
      <c r="P5" s="7">
        <f t="shared" si="0"/>
        <v>74.595854019684694</v>
      </c>
    </row>
    <row r="6" spans="1:16" ht="14.4" x14ac:dyDescent="0.3">
      <c r="A6" s="40">
        <v>45778</v>
      </c>
      <c r="B6" s="29" t="s">
        <v>14</v>
      </c>
      <c r="C6" s="28" t="s">
        <v>38</v>
      </c>
      <c r="D6" s="14" t="s">
        <v>23</v>
      </c>
      <c r="E6" s="14" t="s">
        <v>27</v>
      </c>
      <c r="F6" s="43">
        <v>1</v>
      </c>
      <c r="G6" s="3">
        <v>15</v>
      </c>
      <c r="H6" s="4">
        <f t="shared" si="5"/>
        <v>1335</v>
      </c>
      <c r="I6" s="2">
        <v>172</v>
      </c>
      <c r="J6" s="5">
        <f t="shared" si="1"/>
        <v>2580</v>
      </c>
      <c r="K6" s="5">
        <f t="shared" si="2"/>
        <v>30960</v>
      </c>
      <c r="L6" s="6">
        <f t="shared" si="3"/>
        <v>229620</v>
      </c>
      <c r="M6" s="22">
        <v>600000</v>
      </c>
      <c r="N6" s="22">
        <v>50000</v>
      </c>
      <c r="O6" s="15">
        <f t="shared" si="4"/>
        <v>179620</v>
      </c>
      <c r="P6" s="7">
        <f t="shared" si="0"/>
        <v>78.22489330197719</v>
      </c>
    </row>
    <row r="7" spans="1:16" ht="14.4" x14ac:dyDescent="0.3">
      <c r="A7" s="40">
        <v>45778</v>
      </c>
      <c r="B7" s="29" t="s">
        <v>14</v>
      </c>
      <c r="C7" s="28" t="s">
        <v>36</v>
      </c>
      <c r="D7" s="14" t="s">
        <v>28</v>
      </c>
      <c r="E7" s="14" t="s">
        <v>27</v>
      </c>
      <c r="F7" s="43">
        <v>1</v>
      </c>
      <c r="G7" s="3">
        <v>15</v>
      </c>
      <c r="H7" s="4">
        <f t="shared" si="5"/>
        <v>1335</v>
      </c>
      <c r="I7" s="2">
        <v>172</v>
      </c>
      <c r="J7" s="5">
        <f t="shared" si="1"/>
        <v>2580</v>
      </c>
      <c r="K7" s="5">
        <f t="shared" si="2"/>
        <v>30960</v>
      </c>
      <c r="L7" s="6">
        <f t="shared" si="3"/>
        <v>229620</v>
      </c>
      <c r="M7" s="22">
        <v>700000</v>
      </c>
      <c r="N7" s="22">
        <v>58333</v>
      </c>
      <c r="O7" s="15">
        <f t="shared" si="4"/>
        <v>171287</v>
      </c>
      <c r="P7" s="7">
        <f t="shared" si="0"/>
        <v>74.595854019684694</v>
      </c>
    </row>
    <row r="8" spans="1:16" ht="14.4" x14ac:dyDescent="0.3">
      <c r="A8" s="40">
        <v>45778</v>
      </c>
      <c r="B8" s="29" t="s">
        <v>14</v>
      </c>
      <c r="C8" s="28" t="s">
        <v>39</v>
      </c>
      <c r="D8" s="14" t="s">
        <v>24</v>
      </c>
      <c r="E8" s="14" t="s">
        <v>27</v>
      </c>
      <c r="F8" s="43">
        <v>0</v>
      </c>
      <c r="G8" s="3">
        <v>15</v>
      </c>
      <c r="H8" s="4">
        <f t="shared" si="5"/>
        <v>1335</v>
      </c>
      <c r="I8" s="2">
        <v>0</v>
      </c>
      <c r="J8" s="5">
        <f t="shared" si="1"/>
        <v>0</v>
      </c>
      <c r="K8" s="5">
        <f t="shared" si="2"/>
        <v>0</v>
      </c>
      <c r="L8" s="6">
        <f t="shared" si="3"/>
        <v>0</v>
      </c>
      <c r="M8" s="22">
        <v>700000</v>
      </c>
      <c r="N8" s="22">
        <v>58333</v>
      </c>
      <c r="O8" s="15">
        <f t="shared" si="4"/>
        <v>-58333</v>
      </c>
      <c r="P8" s="7">
        <f t="shared" si="0"/>
        <v>0</v>
      </c>
    </row>
    <row r="9" spans="1:16" ht="14.4" x14ac:dyDescent="0.3">
      <c r="A9" s="40">
        <v>45778</v>
      </c>
      <c r="B9" s="29" t="s">
        <v>14</v>
      </c>
      <c r="C9" s="28" t="s">
        <v>40</v>
      </c>
      <c r="D9" s="14" t="s">
        <v>25</v>
      </c>
      <c r="E9" s="14" t="s">
        <v>29</v>
      </c>
      <c r="F9" s="43">
        <v>0</v>
      </c>
      <c r="G9" s="3">
        <v>15</v>
      </c>
      <c r="H9" s="4">
        <f t="shared" si="5"/>
        <v>1335</v>
      </c>
      <c r="I9" s="2">
        <v>0</v>
      </c>
      <c r="J9" s="5">
        <f t="shared" si="1"/>
        <v>0</v>
      </c>
      <c r="K9" s="5">
        <f t="shared" si="2"/>
        <v>0</v>
      </c>
      <c r="L9" s="6">
        <f t="shared" si="3"/>
        <v>0</v>
      </c>
      <c r="M9" s="22">
        <v>500000</v>
      </c>
      <c r="N9" s="22">
        <v>500000</v>
      </c>
      <c r="O9" s="15">
        <f t="shared" si="4"/>
        <v>-500000</v>
      </c>
      <c r="P9" s="7">
        <f t="shared" si="0"/>
        <v>0</v>
      </c>
    </row>
    <row r="10" spans="1:16" ht="14.4" x14ac:dyDescent="0.3">
      <c r="A10" s="40">
        <v>45778</v>
      </c>
      <c r="B10" s="29" t="s">
        <v>14</v>
      </c>
      <c r="C10" s="28" t="s">
        <v>41</v>
      </c>
      <c r="D10" s="14" t="s">
        <v>20</v>
      </c>
      <c r="E10" s="14" t="s">
        <v>30</v>
      </c>
      <c r="F10" s="43">
        <v>0.5</v>
      </c>
      <c r="G10" s="3">
        <v>15</v>
      </c>
      <c r="H10" s="4">
        <f t="shared" si="5"/>
        <v>1335</v>
      </c>
      <c r="I10" s="2">
        <v>160</v>
      </c>
      <c r="J10" s="5">
        <f t="shared" si="1"/>
        <v>2400</v>
      </c>
      <c r="K10" s="5">
        <f t="shared" si="2"/>
        <v>28800</v>
      </c>
      <c r="L10" s="6">
        <f t="shared" si="3"/>
        <v>213600</v>
      </c>
      <c r="M10" s="22">
        <v>1500000</v>
      </c>
      <c r="N10" s="22">
        <v>41666</v>
      </c>
      <c r="O10" s="15">
        <f t="shared" si="4"/>
        <v>171934</v>
      </c>
      <c r="P10" s="7">
        <f t="shared" si="0"/>
        <v>80.493445692883896</v>
      </c>
    </row>
    <row r="11" spans="1:16" s="24" customFormat="1" ht="14.4" x14ac:dyDescent="0.3">
      <c r="A11" s="41">
        <v>45809</v>
      </c>
      <c r="B11" s="29" t="s">
        <v>14</v>
      </c>
      <c r="C11" s="36" t="s">
        <v>35</v>
      </c>
      <c r="D11" s="30" t="s">
        <v>15</v>
      </c>
      <c r="E11" s="30" t="s">
        <v>16</v>
      </c>
      <c r="F11" s="42">
        <v>0.5</v>
      </c>
      <c r="G11" s="21">
        <v>30</v>
      </c>
      <c r="H11" s="31">
        <f>30*89</f>
        <v>2670</v>
      </c>
      <c r="I11" s="30">
        <v>50</v>
      </c>
      <c r="J11" s="32">
        <f>I11*G11</f>
        <v>1500</v>
      </c>
      <c r="K11" s="32">
        <f>J11*12</f>
        <v>18000</v>
      </c>
      <c r="L11" s="33">
        <f t="shared" si="3"/>
        <v>133500</v>
      </c>
      <c r="M11" s="22">
        <v>1800000</v>
      </c>
      <c r="N11" s="22">
        <v>150000</v>
      </c>
      <c r="O11" s="33">
        <f t="shared" si="4"/>
        <v>-16500</v>
      </c>
      <c r="P11" s="23">
        <f t="shared" si="0"/>
        <v>-12.359550561797752</v>
      </c>
    </row>
    <row r="12" spans="1:16" ht="14.4" x14ac:dyDescent="0.3">
      <c r="A12" s="40">
        <v>45809</v>
      </c>
      <c r="B12" s="29" t="s">
        <v>14</v>
      </c>
      <c r="C12" s="28" t="s">
        <v>34</v>
      </c>
      <c r="D12" s="14" t="s">
        <v>18</v>
      </c>
      <c r="E12" s="14" t="s">
        <v>19</v>
      </c>
      <c r="F12" s="43">
        <v>0.5</v>
      </c>
      <c r="G12" s="21">
        <v>30</v>
      </c>
      <c r="H12" s="4">
        <f>30*89</f>
        <v>2670</v>
      </c>
      <c r="I12" s="2">
        <v>50</v>
      </c>
      <c r="J12" s="5">
        <f t="shared" ref="J12:J19" si="6">I12*G12</f>
        <v>1500</v>
      </c>
      <c r="K12" s="5">
        <f t="shared" ref="K12:K19" si="7">J12*12</f>
        <v>18000</v>
      </c>
      <c r="L12" s="6">
        <f t="shared" si="3"/>
        <v>133500</v>
      </c>
      <c r="M12" s="22">
        <v>1500000</v>
      </c>
      <c r="N12" s="22">
        <v>150000</v>
      </c>
      <c r="O12" s="15">
        <f t="shared" si="4"/>
        <v>-16500</v>
      </c>
      <c r="P12" s="7">
        <f t="shared" si="0"/>
        <v>-12.359550561797752</v>
      </c>
    </row>
    <row r="13" spans="1:16" ht="14.4" x14ac:dyDescent="0.3">
      <c r="A13" s="40">
        <v>45809</v>
      </c>
      <c r="B13" s="29" t="s">
        <v>14</v>
      </c>
      <c r="C13" s="28" t="s">
        <v>36</v>
      </c>
      <c r="D13" s="14" t="s">
        <v>21</v>
      </c>
      <c r="E13" s="14" t="s">
        <v>26</v>
      </c>
      <c r="F13" s="43">
        <v>1</v>
      </c>
      <c r="G13" s="3">
        <v>15</v>
      </c>
      <c r="H13" s="4">
        <f>15*89</f>
        <v>1335</v>
      </c>
      <c r="I13" s="2">
        <v>172</v>
      </c>
      <c r="J13" s="5">
        <f t="shared" si="6"/>
        <v>2580</v>
      </c>
      <c r="K13" s="5">
        <f t="shared" si="7"/>
        <v>30960</v>
      </c>
      <c r="L13" s="6">
        <f t="shared" si="3"/>
        <v>229620</v>
      </c>
      <c r="M13" s="22">
        <v>700000</v>
      </c>
      <c r="N13" s="22">
        <v>58333</v>
      </c>
      <c r="O13" s="15">
        <f t="shared" si="4"/>
        <v>171287</v>
      </c>
      <c r="P13" s="7">
        <f t="shared" si="0"/>
        <v>74.595854019684694</v>
      </c>
    </row>
    <row r="14" spans="1:16" ht="14.4" x14ac:dyDescent="0.3">
      <c r="A14" s="40">
        <v>45809</v>
      </c>
      <c r="B14" s="29" t="s">
        <v>14</v>
      </c>
      <c r="C14" s="28" t="s">
        <v>37</v>
      </c>
      <c r="D14" s="14" t="s">
        <v>22</v>
      </c>
      <c r="E14" s="14" t="s">
        <v>26</v>
      </c>
      <c r="F14" s="43">
        <v>1</v>
      </c>
      <c r="G14" s="3">
        <v>15</v>
      </c>
      <c r="H14" s="4">
        <f t="shared" ref="H14:H19" si="8">15*89</f>
        <v>1335</v>
      </c>
      <c r="I14" s="2">
        <v>172</v>
      </c>
      <c r="J14" s="5">
        <f t="shared" si="6"/>
        <v>2580</v>
      </c>
      <c r="K14" s="5">
        <f t="shared" si="7"/>
        <v>30960</v>
      </c>
      <c r="L14" s="6">
        <f t="shared" si="3"/>
        <v>229620</v>
      </c>
      <c r="M14" s="22">
        <v>700000</v>
      </c>
      <c r="N14" s="22">
        <v>58333</v>
      </c>
      <c r="O14" s="15">
        <f t="shared" si="4"/>
        <v>171287</v>
      </c>
      <c r="P14" s="7">
        <f t="shared" si="0"/>
        <v>74.595854019684694</v>
      </c>
    </row>
    <row r="15" spans="1:16" ht="14.4" x14ac:dyDescent="0.3">
      <c r="A15" s="40">
        <v>45809</v>
      </c>
      <c r="B15" s="29" t="s">
        <v>14</v>
      </c>
      <c r="C15" s="28" t="s">
        <v>38</v>
      </c>
      <c r="D15" s="14" t="s">
        <v>23</v>
      </c>
      <c r="E15" s="14" t="s">
        <v>27</v>
      </c>
      <c r="F15" s="43">
        <v>1</v>
      </c>
      <c r="G15" s="3">
        <v>15</v>
      </c>
      <c r="H15" s="4">
        <f t="shared" si="8"/>
        <v>1335</v>
      </c>
      <c r="I15" s="2">
        <v>172</v>
      </c>
      <c r="J15" s="5">
        <f t="shared" si="6"/>
        <v>2580</v>
      </c>
      <c r="K15" s="5">
        <f t="shared" si="7"/>
        <v>30960</v>
      </c>
      <c r="L15" s="6">
        <f t="shared" si="3"/>
        <v>229620</v>
      </c>
      <c r="M15" s="22">
        <v>600000</v>
      </c>
      <c r="N15" s="22">
        <v>50000</v>
      </c>
      <c r="O15" s="15">
        <f t="shared" si="4"/>
        <v>179620</v>
      </c>
      <c r="P15" s="7">
        <f t="shared" si="0"/>
        <v>78.22489330197719</v>
      </c>
    </row>
    <row r="16" spans="1:16" ht="14.4" x14ac:dyDescent="0.3">
      <c r="A16" s="40">
        <v>45809</v>
      </c>
      <c r="B16" s="29" t="s">
        <v>14</v>
      </c>
      <c r="C16" s="28" t="s">
        <v>36</v>
      </c>
      <c r="D16" s="14" t="s">
        <v>28</v>
      </c>
      <c r="E16" s="14" t="s">
        <v>27</v>
      </c>
      <c r="F16" s="43">
        <v>1</v>
      </c>
      <c r="G16" s="3">
        <v>15</v>
      </c>
      <c r="H16" s="4">
        <f t="shared" si="8"/>
        <v>1335</v>
      </c>
      <c r="I16" s="2">
        <v>172</v>
      </c>
      <c r="J16" s="5">
        <f t="shared" si="6"/>
        <v>2580</v>
      </c>
      <c r="K16" s="5">
        <f t="shared" si="7"/>
        <v>30960</v>
      </c>
      <c r="L16" s="6">
        <f t="shared" si="3"/>
        <v>229620</v>
      </c>
      <c r="M16" s="22">
        <v>700000</v>
      </c>
      <c r="N16" s="22">
        <v>58333</v>
      </c>
      <c r="O16" s="15">
        <f t="shared" si="4"/>
        <v>171287</v>
      </c>
      <c r="P16" s="7">
        <f t="shared" si="0"/>
        <v>74.595854019684694</v>
      </c>
    </row>
    <row r="17" spans="1:16" ht="14.4" x14ac:dyDescent="0.3">
      <c r="A17" s="40">
        <v>45809</v>
      </c>
      <c r="B17" s="29" t="s">
        <v>14</v>
      </c>
      <c r="C17" s="28" t="s">
        <v>39</v>
      </c>
      <c r="D17" s="14" t="s">
        <v>24</v>
      </c>
      <c r="E17" s="14" t="s">
        <v>27</v>
      </c>
      <c r="F17" s="43">
        <v>0</v>
      </c>
      <c r="G17" s="3">
        <v>15</v>
      </c>
      <c r="H17" s="4">
        <f t="shared" si="8"/>
        <v>1335</v>
      </c>
      <c r="I17" s="2">
        <v>0</v>
      </c>
      <c r="J17" s="5">
        <f t="shared" si="6"/>
        <v>0</v>
      </c>
      <c r="K17" s="5">
        <f t="shared" si="7"/>
        <v>0</v>
      </c>
      <c r="L17" s="6">
        <f t="shared" si="3"/>
        <v>0</v>
      </c>
      <c r="M17" s="22">
        <v>700000</v>
      </c>
      <c r="N17" s="22">
        <v>58333</v>
      </c>
      <c r="O17" s="15">
        <f t="shared" si="4"/>
        <v>-58333</v>
      </c>
      <c r="P17" s="7">
        <f t="shared" si="0"/>
        <v>0</v>
      </c>
    </row>
    <row r="18" spans="1:16" ht="14.4" x14ac:dyDescent="0.3">
      <c r="A18" s="40">
        <v>45809</v>
      </c>
      <c r="B18" s="29" t="s">
        <v>14</v>
      </c>
      <c r="C18" s="28" t="s">
        <v>40</v>
      </c>
      <c r="D18" s="14" t="s">
        <v>25</v>
      </c>
      <c r="E18" s="14" t="s">
        <v>29</v>
      </c>
      <c r="F18" s="43">
        <v>0</v>
      </c>
      <c r="G18" s="3">
        <v>15</v>
      </c>
      <c r="H18" s="4">
        <f t="shared" si="8"/>
        <v>1335</v>
      </c>
      <c r="I18" s="2">
        <v>0</v>
      </c>
      <c r="J18" s="5">
        <f t="shared" si="6"/>
        <v>0</v>
      </c>
      <c r="K18" s="5">
        <f t="shared" si="7"/>
        <v>0</v>
      </c>
      <c r="L18" s="6">
        <f t="shared" si="3"/>
        <v>0</v>
      </c>
      <c r="M18" s="22">
        <v>500000</v>
      </c>
      <c r="N18" s="22">
        <v>500000</v>
      </c>
      <c r="O18" s="15">
        <f t="shared" si="4"/>
        <v>-500000</v>
      </c>
      <c r="P18" s="7">
        <f t="shared" si="0"/>
        <v>0</v>
      </c>
    </row>
    <row r="19" spans="1:16" ht="14.4" x14ac:dyDescent="0.3">
      <c r="A19" s="40">
        <v>45809</v>
      </c>
      <c r="B19" s="34" t="s">
        <v>14</v>
      </c>
      <c r="C19" s="35" t="s">
        <v>41</v>
      </c>
      <c r="D19" s="14" t="s">
        <v>20</v>
      </c>
      <c r="E19" s="14" t="s">
        <v>30</v>
      </c>
      <c r="F19" s="43">
        <v>0.5</v>
      </c>
      <c r="G19" s="3">
        <v>15</v>
      </c>
      <c r="H19" s="4">
        <f t="shared" si="8"/>
        <v>1335</v>
      </c>
      <c r="I19" s="2">
        <v>160</v>
      </c>
      <c r="J19" s="5">
        <f t="shared" si="6"/>
        <v>2400</v>
      </c>
      <c r="K19" s="5">
        <f t="shared" si="7"/>
        <v>28800</v>
      </c>
      <c r="L19" s="6">
        <f t="shared" si="3"/>
        <v>213600</v>
      </c>
      <c r="M19" s="22">
        <v>1500000</v>
      </c>
      <c r="N19" s="22">
        <v>41666</v>
      </c>
      <c r="O19" s="15">
        <f t="shared" si="4"/>
        <v>171934</v>
      </c>
      <c r="P19" s="7">
        <f t="shared" si="0"/>
        <v>80.493445692883896</v>
      </c>
    </row>
    <row r="20" spans="1:16" ht="14.4" x14ac:dyDescent="0.3">
      <c r="A20" s="38"/>
      <c r="B20" s="12"/>
      <c r="C20" s="12"/>
      <c r="D20" s="13"/>
      <c r="E20" s="8"/>
      <c r="F20" s="8"/>
      <c r="G20" s="8"/>
      <c r="H20" s="8"/>
      <c r="I20" s="8"/>
      <c r="J20" s="9">
        <f>SUM(J2:J19)</f>
        <v>31440</v>
      </c>
      <c r="K20" s="9">
        <f>SUM(K2:K19)</f>
        <v>377280</v>
      </c>
      <c r="L20" s="10">
        <f>SUM(L2:L19)</f>
        <v>2798160</v>
      </c>
      <c r="M20" s="8"/>
      <c r="N20" s="10">
        <f>SUM(N2:N19)</f>
        <v>2224996</v>
      </c>
      <c r="O20" s="10">
        <f>L20-N20</f>
        <v>573164</v>
      </c>
      <c r="P20" s="11">
        <f>IF(L20=0,0,(O20/L20)*100)</f>
        <v>20.483603510878577</v>
      </c>
    </row>
    <row r="24" spans="1:16" ht="15.75" customHeight="1" x14ac:dyDescent="0.3">
      <c r="J24" s="25"/>
    </row>
    <row r="25" spans="1:16" ht="15.75" customHeight="1" x14ac:dyDescent="0.3"/>
    <row r="26" spans="1:16" ht="15.75" customHeight="1" x14ac:dyDescent="0.3"/>
    <row r="27" spans="1:16" ht="15.75" customHeight="1" x14ac:dyDescent="0.3"/>
    <row r="28" spans="1:16" ht="15.75" customHeight="1" x14ac:dyDescent="0.3"/>
    <row r="29" spans="1:16" ht="15.75" customHeight="1" x14ac:dyDescent="0.3"/>
    <row r="30" spans="1:16" ht="15.75" customHeight="1" x14ac:dyDescent="0.3"/>
    <row r="31" spans="1:16" ht="15.75" customHeight="1" x14ac:dyDescent="0.3"/>
    <row r="32" spans="1:1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conditionalFormatting sqref="O2:P2 P3:P10 O3:O19">
    <cfRule type="cellIs" dxfId="5" priority="4" operator="lessThan">
      <formula>0</formula>
    </cfRule>
  </conditionalFormatting>
  <conditionalFormatting sqref="O2:P2 P3:P10 O3:O19">
    <cfRule type="cellIs" dxfId="4" priority="5" operator="greaterThan">
      <formula>0</formula>
    </cfRule>
  </conditionalFormatting>
  <conditionalFormatting sqref="P2:P10">
    <cfRule type="cellIs" dxfId="3" priority="6" operator="equal">
      <formula>0</formula>
    </cfRule>
  </conditionalFormatting>
  <conditionalFormatting sqref="P11:P19">
    <cfRule type="cellIs" dxfId="2" priority="1" operator="lessThan">
      <formula>0</formula>
    </cfRule>
  </conditionalFormatting>
  <conditionalFormatting sqref="P11:P19">
    <cfRule type="cellIs" dxfId="1" priority="2" operator="greaterThan">
      <formula>0</formula>
    </cfRule>
  </conditionalFormatting>
  <conditionalFormatting sqref="P11:P19">
    <cfRule type="cellIs" dxfId="0" priority="3" operator="equal">
      <formula>0</formula>
    </cfRule>
  </conditionalFormatting>
  <hyperlinks>
    <hyperlink ref="C4" r:id="rId1"/>
    <hyperlink ref="C2" r:id="rId2"/>
    <hyperlink ref="C3" r:id="rId3"/>
    <hyperlink ref="C7" r:id="rId4"/>
    <hyperlink ref="C5" r:id="rId5"/>
    <hyperlink ref="C6" r:id="rId6"/>
    <hyperlink ref="C10" r:id="rId7"/>
    <hyperlink ref="C8" r:id="rId8"/>
    <hyperlink ref="C9" r:id="rId9"/>
    <hyperlink ref="C13" r:id="rId10"/>
    <hyperlink ref="C11" r:id="rId11"/>
    <hyperlink ref="C12" r:id="rId12"/>
    <hyperlink ref="C16" r:id="rId13"/>
    <hyperlink ref="C14" r:id="rId14"/>
    <hyperlink ref="C15" r:id="rId15"/>
    <hyperlink ref="C19" r:id="rId16"/>
    <hyperlink ref="C17" r:id="rId17"/>
    <hyperlink ref="C18" r:id="rId18"/>
  </hyperlinks>
  <pageMargins left="0.7" right="0.7" top="0.75" bottom="0.75" header="0" footer="0"/>
  <pageSetup orientation="landscape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 Data</vt:lpstr>
      <vt:lpstr>Output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Bhalla</dc:creator>
  <cp:lastModifiedBy>Deeksha Minhas</cp:lastModifiedBy>
  <dcterms:created xsi:type="dcterms:W3CDTF">2025-10-07T09:00:34Z</dcterms:created>
  <dcterms:modified xsi:type="dcterms:W3CDTF">2025-10-17T04:38:20Z</dcterms:modified>
</cp:coreProperties>
</file>